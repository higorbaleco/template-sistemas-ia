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Parâmetros" sheetId="2" state="visible" r:id="rId4"/>
    <sheet name="Roteiro Pré-venda" sheetId="3" state="visible" r:id="rId5"/>
    <sheet name="Oportunidades" sheetId="4" state="visible" r:id="rId6"/>
    <sheet name="Escopo Setup" sheetId="5" state="visible" r:id="rId7"/>
    <sheet name="Onboarding" sheetId="6" state="visible" r:id="rId8"/>
    <sheet name="Plano do Cliente" sheetId="7" state="visible" r:id="rId9"/>
    <sheet name="Operação Mensal" sheetId="8" state="visible" r:id="rId10"/>
    <sheet name="Relatório ROI" sheetId="9" state="visible" r:id="rId11"/>
  </sheets>
  <definedNames>
    <definedName function="false" hidden="true" localSheetId="3" name="_xlnm._FilterDatabase" vbProcedure="false">Oportunidades!$A$4:$AD$105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Avraham</author>
  </authors>
  <commentList>
    <comment ref="B5" authorId="0">
      <text>
        <r>
          <rPr>
            <sz val="10"/>
            <rFont val="Arial"/>
            <family val="2"/>
          </rPr>
          <t xml:space="preserve">Inclua salário/pró-labore, encargos, ferramentas e ociosidade.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Referência para preço sugerido de setup.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Usada para calcular preço mínimo saudável.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Percentual adicional para coordenação.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Reserva para risco e variação de escopo.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Capacidade efetiva, não jornada total.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Parcela do impacto conservador usada como referência de preço.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Markup operacional sobre custos variáveis.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Exemplo; atualizar conforme política financeira.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Exemplo; substituir pelo modelo contratado.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Exemplo; substituir pelo modelo contratado.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Base por cliente.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Base por processo principal.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Arquitetura e instruções centrais.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Estimativa por fluxo relevante.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Tratamento por documento ou lote simples.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API conhecida, baixo risco e poucos campos.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Regras, autenticação ou escrita complexa.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Configuração por canal.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Ferramenta ou função específica.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Criação, execução e registro.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Por sessão.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-88</xdr:colOff>
                <xdr:row>1</xdr:row>
                <xdr:rowOff>39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<sst xmlns="http://schemas.openxmlformats.org/spreadsheetml/2006/main" count="441" uniqueCount="373">
  <si>
    <t xml:space="preserve">Sistema comercial, onboarding e ROI</t>
  </si>
  <si>
    <t xml:space="preserve">Modelo para Excel ou importação no Google Sheets. Edite células amarelas com texto azul; fórmulas ficam em preto.</t>
  </si>
  <si>
    <t xml:space="preserve">Etapa</t>
  </si>
  <si>
    <t xml:space="preserve">Área</t>
  </si>
  <si>
    <t xml:space="preserve">Como usar</t>
  </si>
  <si>
    <t xml:space="preserve">1</t>
  </si>
  <si>
    <t xml:space="preserve">Pré-venda</t>
  </si>
  <si>
    <t xml:space="preserve">Use Roteiro Pré-venda durante a ligação e registre uma linha em Oportunidades.</t>
  </si>
  <si>
    <t xml:space="preserve">2</t>
  </si>
  <si>
    <t xml:space="preserve">Decisão de fit</t>
  </si>
  <si>
    <t xml:space="preserve">A planilha calcula nota, classificação e exposição financeira preliminar.</t>
  </si>
  <si>
    <t xml:space="preserve">3</t>
  </si>
  <si>
    <t xml:space="preserve">Escopo e preço</t>
  </si>
  <si>
    <t xml:space="preserve">Preencha Escopo Setup para estimar horas, custo, preço mínimo, preço sugerido e prazo.</t>
  </si>
  <si>
    <t xml:space="preserve">4</t>
  </si>
  <si>
    <t xml:space="preserve">Fechamento</t>
  </si>
  <si>
    <t xml:space="preserve">Ao ganhar, aprofunde o briefing na aba Onboarding; não pergunte novamente o que já foi coletado.</t>
  </si>
  <si>
    <t xml:space="preserve">5</t>
  </si>
  <si>
    <t xml:space="preserve">Plano do cliente</t>
  </si>
  <si>
    <t xml:space="preserve">Registre um agente por linha em Plano do Cliente, com função, limites, integrações e métricas.</t>
  </si>
  <si>
    <t xml:space="preserve">6</t>
  </si>
  <si>
    <t xml:space="preserve">Operação mensal</t>
  </si>
  <si>
    <t xml:space="preserve">Estime horas, tokens, custo e mensalidade em Operação Mensal.</t>
  </si>
  <si>
    <t xml:space="preserve">7</t>
  </si>
  <si>
    <t xml:space="preserve">Prova de valor</t>
  </si>
  <si>
    <t xml:space="preserve">Preencha Relatório ROI mensalmente com linha de base e resultados observados.</t>
  </si>
  <si>
    <t xml:space="preserve">Parâmetros comerciais e operacionais</t>
  </si>
  <si>
    <t xml:space="preserve">Valores de exemplo. Substitua pelos custos, preços e capacidade reais da Avraham.</t>
  </si>
  <si>
    <t xml:space="preserve">Parâmetro</t>
  </si>
  <si>
    <t xml:space="preserve">Valor</t>
  </si>
  <si>
    <t xml:space="preserve">Observação</t>
  </si>
  <si>
    <t xml:space="preserve">Custo interno carregado por hora (R$)</t>
  </si>
  <si>
    <t xml:space="preserve">Inclua salário/pró-labore, encargos, ferramentas e ociosidade.</t>
  </si>
  <si>
    <t xml:space="preserve">Valor comercial por hora (R$)</t>
  </si>
  <si>
    <t xml:space="preserve">Referência para preço sugerido de setup.</t>
  </si>
  <si>
    <t xml:space="preserve">Margem bruta alvo</t>
  </si>
  <si>
    <t xml:space="preserve">Usada para calcular preço mínimo saudável.</t>
  </si>
  <si>
    <t xml:space="preserve">Gestão do projeto sobre horas</t>
  </si>
  <si>
    <t xml:space="preserve">Percentual adicional para coordenação.</t>
  </si>
  <si>
    <t xml:space="preserve">Contingência sobre horas</t>
  </si>
  <si>
    <t xml:space="preserve">Reserva para risco e variação de escopo.</t>
  </si>
  <si>
    <t xml:space="preserve">Capacidade semanal por projeto (h)</t>
  </si>
  <si>
    <t xml:space="preserve">Capacidade efetiva, não jornada total.</t>
  </si>
  <si>
    <t xml:space="preserve">Captura de valor mensal</t>
  </si>
  <si>
    <t xml:space="preserve">Parcela do impacto conservador usada como referência de preço.</t>
  </si>
  <si>
    <t xml:space="preserve">Margem sobre tokens/infra</t>
  </si>
  <si>
    <t xml:space="preserve">Markup operacional sobre custos variáveis.</t>
  </si>
  <si>
    <t xml:space="preserve">Câmbio USD/BRL</t>
  </si>
  <si>
    <t xml:space="preserve">Exemplo; atualizar conforme política financeira.</t>
  </si>
  <si>
    <t xml:space="preserve">Modelo - entrada (USD/1M tokens)</t>
  </si>
  <si>
    <t xml:space="preserve">Exemplo; substituir pelo modelo contratado.</t>
  </si>
  <si>
    <t xml:space="preserve">Modelo - saída (USD/1M tokens)</t>
  </si>
  <si>
    <t xml:space="preserve">Descoberta e diagnóstico (h)</t>
  </si>
  <si>
    <t xml:space="preserve">Base por cliente.</t>
  </si>
  <si>
    <t xml:space="preserve">Mapeamento do processo (h)</t>
  </si>
  <si>
    <t xml:space="preserve">Base por processo principal.</t>
  </si>
  <si>
    <t xml:space="preserve">Criação por agente (h)</t>
  </si>
  <si>
    <t xml:space="preserve">Arquitetura e instruções centrais.</t>
  </si>
  <si>
    <t xml:space="preserve">Fluxo/intenção (h)</t>
  </si>
  <si>
    <t xml:space="preserve">Estimativa por fluxo relevante.</t>
  </si>
  <si>
    <t xml:space="preserve">Fonte de conhecimento (h)</t>
  </si>
  <si>
    <t xml:space="preserve">Tratamento por documento ou lote simples.</t>
  </si>
  <si>
    <t xml:space="preserve">Integração simples (h)</t>
  </si>
  <si>
    <t xml:space="preserve">API conhecida, baixo risco e poucos campos.</t>
  </si>
  <si>
    <t xml:space="preserve">Integração complexa (h)</t>
  </si>
  <si>
    <t xml:space="preserve">Regras, autenticação ou escrita complexa.</t>
  </si>
  <si>
    <t xml:space="preserve">Canal (h)</t>
  </si>
  <si>
    <t xml:space="preserve">Configuração por canal.</t>
  </si>
  <si>
    <t xml:space="preserve">Ação customizada (h)</t>
  </si>
  <si>
    <t xml:space="preserve">Ferramenta ou função específica.</t>
  </si>
  <si>
    <t xml:space="preserve">Cenário de teste (h)</t>
  </si>
  <si>
    <t xml:space="preserve">Criação, execução e registro.</t>
  </si>
  <si>
    <t xml:space="preserve">Treinamento/handoff (h)</t>
  </si>
  <si>
    <t xml:space="preserve">Por sessão.</t>
  </si>
  <si>
    <t xml:space="preserve">Roteiro da ligação de descoberta</t>
  </si>
  <si>
    <t xml:space="preserve">Perguntas para descobrir fit, impacto, escopo provável e argumentos da proposta.</t>
  </si>
  <si>
    <t xml:space="preserve">Bloco</t>
  </si>
  <si>
    <t xml:space="preserve">Pergunta</t>
  </si>
  <si>
    <t xml:space="preserve">O que revela</t>
  </si>
  <si>
    <t xml:space="preserve">Formato da resposta</t>
  </si>
  <si>
    <t xml:space="preserve">Contexto</t>
  </si>
  <si>
    <t xml:space="preserve">O que a empresa vende, para quem e por qual canal?</t>
  </si>
  <si>
    <t xml:space="preserve">Contexto comercial</t>
  </si>
  <si>
    <t xml:space="preserve">Texto</t>
  </si>
  <si>
    <t xml:space="preserve">Qual processo vocês gostariam de melhorar com IA?</t>
  </si>
  <si>
    <t xml:space="preserve">Caso de uso</t>
  </si>
  <si>
    <t xml:space="preserve">Prioridade</t>
  </si>
  <si>
    <t xml:space="preserve">Por que isso virou prioridade agora?</t>
  </si>
  <si>
    <t xml:space="preserve">Urgência</t>
  </si>
  <si>
    <t xml:space="preserve">O que acontece se nada mudar nos próximos seis meses?</t>
  </si>
  <si>
    <t xml:space="preserve">Custo de inação</t>
  </si>
  <si>
    <t xml:space="preserve">Dor</t>
  </si>
  <si>
    <t xml:space="preserve">Onde o processo mais trava, atrasa ou perde qualidade?</t>
  </si>
  <si>
    <t xml:space="preserve">Dor principal</t>
  </si>
  <si>
    <t xml:space="preserve">Conte um caso recente em que isso custou tempo, venda ou satisfação.</t>
  </si>
  <si>
    <t xml:space="preserve">Evidência</t>
  </si>
  <si>
    <t xml:space="preserve">Volume</t>
  </si>
  <si>
    <t xml:space="preserve">Quantos contatos ou solicitações entram por mês?</t>
  </si>
  <si>
    <t xml:space="preserve">Escala</t>
  </si>
  <si>
    <t xml:space="preserve">Número</t>
  </si>
  <si>
    <t xml:space="preserve">Impacto</t>
  </si>
  <si>
    <t xml:space="preserve">Qual é o ticket médio e a conversão atual?</t>
  </si>
  <si>
    <t xml:space="preserve">Receita exposta</t>
  </si>
  <si>
    <t xml:space="preserve">Moeda + %</t>
  </si>
  <si>
    <t xml:space="preserve">Quantos contatos ficam sem resposta ou sem follow-up?</t>
  </si>
  <si>
    <t xml:space="preserve">Abandono</t>
  </si>
  <si>
    <t xml:space="preserve">% ou número</t>
  </si>
  <si>
    <t xml:space="preserve">Quanto tempo leva a primeira resposta?</t>
  </si>
  <si>
    <t xml:space="preserve">Velocidade</t>
  </si>
  <si>
    <t xml:space="preserve">Minutos</t>
  </si>
  <si>
    <t xml:space="preserve">Quantas pessoas e horas mensais são gastas nesse processo?</t>
  </si>
  <si>
    <t xml:space="preserve">Custo de trabalho</t>
  </si>
  <si>
    <t xml:space="preserve">Processo</t>
  </si>
  <si>
    <t xml:space="preserve">Descreva o caminho do primeiro contato até a conclusão.</t>
  </si>
  <si>
    <t xml:space="preserve">Complexidade</t>
  </si>
  <si>
    <t xml:space="preserve">Quais decisões são regras e quais dependem de julgamento humano?</t>
  </si>
  <si>
    <t xml:space="preserve">Automatização possível</t>
  </si>
  <si>
    <t xml:space="preserve">Tecnologia</t>
  </si>
  <si>
    <t xml:space="preserve">Quais sistemas, canais e integrações fazem parte do processo?</t>
  </si>
  <si>
    <t xml:space="preserve">Esforço técnico</t>
  </si>
  <si>
    <t xml:space="preserve">Lista</t>
  </si>
  <si>
    <t xml:space="preserve">Existe API, documentação e apoio técnico do cliente?</t>
  </si>
  <si>
    <t xml:space="preserve">Prontidão técnica</t>
  </si>
  <si>
    <t xml:space="preserve">Sim/Não + detalhe</t>
  </si>
  <si>
    <t xml:space="preserve">Conhecimento</t>
  </si>
  <si>
    <t xml:space="preserve">Quais materiais e conversas reais existem?</t>
  </si>
  <si>
    <t xml:space="preserve">Prontidão de conteúdo</t>
  </si>
  <si>
    <t xml:space="preserve">Risco</t>
  </si>
  <si>
    <t xml:space="preserve">O que a IA jamais poderia fazer ou prometer?</t>
  </si>
  <si>
    <t xml:space="preserve">Limites</t>
  </si>
  <si>
    <t xml:space="preserve">Quando a conversa precisa ir para uma pessoa?</t>
  </si>
  <si>
    <t xml:space="preserve">Handoff</t>
  </si>
  <si>
    <t xml:space="preserve">Compra</t>
  </si>
  <si>
    <t xml:space="preserve">Quem aprova e quem será o dono interno?</t>
  </si>
  <si>
    <t xml:space="preserve">Governança</t>
  </si>
  <si>
    <t xml:space="preserve">Existe data e faixa de investimento previstas?</t>
  </si>
  <si>
    <t xml:space="preserve">Fit comercial</t>
  </si>
  <si>
    <t xml:space="preserve">Data + faixa</t>
  </si>
  <si>
    <t xml:space="preserve">Métrica</t>
  </si>
  <si>
    <t xml:space="preserve">Que resultado provaria sucesso em 90 dias?</t>
  </si>
  <si>
    <t xml:space="preserve">Critério de sucesso</t>
  </si>
  <si>
    <t xml:space="preserve">Texto + número</t>
  </si>
  <si>
    <t xml:space="preserve">O cliente aceita medir uma linha de base antes do go-live?</t>
  </si>
  <si>
    <t xml:space="preserve">Mensurabilidade</t>
  </si>
  <si>
    <t xml:space="preserve">Sim/Não</t>
  </si>
  <si>
    <t xml:space="preserve">Registro e qualificação de oportunidades</t>
  </si>
  <si>
    <t xml:space="preserve">Uma linha por oportunidade. Notas de 0 a 5; bloqueador crítico força a classificação Sem fit.</t>
  </si>
  <si>
    <t xml:space="preserve">ID</t>
  </si>
  <si>
    <t xml:space="preserve">Data</t>
  </si>
  <si>
    <t xml:space="preserve">Cliente</t>
  </si>
  <si>
    <t xml:space="preserve">Vendedor</t>
  </si>
  <si>
    <t xml:space="preserve">Segmento</t>
  </si>
  <si>
    <t xml:space="preserve">Contatos/mês</t>
  </si>
  <si>
    <t xml:space="preserve">Ticket médio (R$)</t>
  </si>
  <si>
    <t xml:space="preserve">Conversão atual</t>
  </si>
  <si>
    <t xml:space="preserve">% sem follow-up</t>
  </si>
  <si>
    <t xml:space="preserve">1ª resposta (min)</t>
  </si>
  <si>
    <t xml:space="preserve">Dor e prioridade (0-5)</t>
  </si>
  <si>
    <t xml:space="preserve">Impacto econômico (0-5)</t>
  </si>
  <si>
    <t xml:space="preserve">Volume/repetição (0-5)</t>
  </si>
  <si>
    <t xml:space="preserve">Prontidão operacional (0-5)</t>
  </si>
  <si>
    <t xml:space="preserve">Fit comercial (0-5)</t>
  </si>
  <si>
    <t xml:space="preserve">Bloqueador crítico?</t>
  </si>
  <si>
    <t xml:space="preserve">Nota de fit</t>
  </si>
  <si>
    <t xml:space="preserve">Classificação</t>
  </si>
  <si>
    <t xml:space="preserve">Receita exposta/mês</t>
  </si>
  <si>
    <t xml:space="preserve">Resultado desejado</t>
  </si>
  <si>
    <t xml:space="preserve">Processo atual</t>
  </si>
  <si>
    <t xml:space="preserve">Sistemas/canais</t>
  </si>
  <si>
    <t xml:space="preserve">Decisor/dono</t>
  </si>
  <si>
    <t xml:space="preserve">Faixa de investimento</t>
  </si>
  <si>
    <t xml:space="preserve">Urgência/data</t>
  </si>
  <si>
    <t xml:space="preserve">Próximo passo</t>
  </si>
  <si>
    <t xml:space="preserve">Status</t>
  </si>
  <si>
    <t xml:space="preserve">Tese para proposta</t>
  </si>
  <si>
    <t xml:space="preserve">Motivo sem fit/perda</t>
  </si>
  <si>
    <t xml:space="preserve">OP-001</t>
  </si>
  <si>
    <t xml:space="preserve">05/10/2026</t>
  </si>
  <si>
    <t xml:space="preserve">Cliente Exemplo</t>
  </si>
  <si>
    <t xml:space="preserve">Closer</t>
  </si>
  <si>
    <t xml:space="preserve">Serviços</t>
  </si>
  <si>
    <t xml:space="preserve">Não</t>
  </si>
  <si>
    <t xml:space="preserve">Leads sem continuidade</t>
  </si>
  <si>
    <t xml:space="preserve">Proteger e qualificar 24/7</t>
  </si>
  <si>
    <t xml:space="preserve">Atendimento manual sem cadência</t>
  </si>
  <si>
    <t xml:space="preserve">WhatsApp + CRM</t>
  </si>
  <si>
    <t xml:space="preserve">Diretor comercial</t>
  </si>
  <si>
    <t xml:space="preserve">R$ 8 mil a R$ 15 mil</t>
  </si>
  <si>
    <t xml:space="preserve">30 dias</t>
  </si>
  <si>
    <t xml:space="preserve">Agendar proposta</t>
  </si>
  <si>
    <t xml:space="preserve">Fit forte</t>
  </si>
  <si>
    <t xml:space="preserve">Proteger resposta, qualificação e follow-up antes de ampliar.</t>
  </si>
  <si>
    <t xml:space="preserve">Estimativa de setup</t>
  </si>
  <si>
    <t xml:space="preserve">Quantifique o escopo. O preço mínimo protege margem; o sugerido usa a maior referência entre custo e hora comercial.</t>
  </si>
  <si>
    <t xml:space="preserve">ID oportunidade</t>
  </si>
  <si>
    <t xml:space="preserve">Agentes</t>
  </si>
  <si>
    <t xml:space="preserve">Fluxos</t>
  </si>
  <si>
    <t xml:space="preserve">Fontes conhecimento</t>
  </si>
  <si>
    <t xml:space="preserve">Integrações simples</t>
  </si>
  <si>
    <t xml:space="preserve">Integrações complexas</t>
  </si>
  <si>
    <t xml:space="preserve">Canais</t>
  </si>
  <si>
    <t xml:space="preserve">Ações customizadas</t>
  </si>
  <si>
    <t xml:space="preserve">Cenários teste</t>
  </si>
  <si>
    <t xml:space="preserve">Sessões treinamento</t>
  </si>
  <si>
    <t xml:space="preserve">Horas migração/outros</t>
  </si>
  <si>
    <t xml:space="preserve">Descoberta (h)</t>
  </si>
  <si>
    <t xml:space="preserve">Mapeamento (h)</t>
  </si>
  <si>
    <t xml:space="preserve">Agentes (h)</t>
  </si>
  <si>
    <t xml:space="preserve">Fluxos (h)</t>
  </si>
  <si>
    <t xml:space="preserve">Conhecimento (h)</t>
  </si>
  <si>
    <t xml:space="preserve">Integrações (h)</t>
  </si>
  <si>
    <t xml:space="preserve">Canais (h)</t>
  </si>
  <si>
    <t xml:space="preserve">Customização (h)</t>
  </si>
  <si>
    <t xml:space="preserve">Testes (h)</t>
  </si>
  <si>
    <t xml:space="preserve">Treinamento (h)</t>
  </si>
  <si>
    <t xml:space="preserve">Subtotal (h)</t>
  </si>
  <si>
    <t xml:space="preserve">Gestão (h)</t>
  </si>
  <si>
    <t xml:space="preserve">Contingência (h)</t>
  </si>
  <si>
    <t xml:space="preserve">Total (h)</t>
  </si>
  <si>
    <t xml:space="preserve">Custo interno</t>
  </si>
  <si>
    <t xml:space="preserve">Preço mínimo</t>
  </si>
  <si>
    <t xml:space="preserve">Preço sugerido</t>
  </si>
  <si>
    <t xml:space="preserve">Margem sugerida</t>
  </si>
  <si>
    <t xml:space="preserve">Prazo (semanas)</t>
  </si>
  <si>
    <t xml:space="preserve">Briefing de onboarding</t>
  </si>
  <si>
    <t xml:space="preserve">Use após o fechamento. A coluna Evidência esperada evita respostas vagas.</t>
  </si>
  <si>
    <t xml:space="preserve">Evidência esperada</t>
  </si>
  <si>
    <t xml:space="preserve">Obrigatoriedade</t>
  </si>
  <si>
    <t xml:space="preserve">Resposta/Link</t>
  </si>
  <si>
    <t xml:space="preserve">Responsável</t>
  </si>
  <si>
    <t xml:space="preserve">Prazo</t>
  </si>
  <si>
    <t xml:space="preserve">Objetivo</t>
  </si>
  <si>
    <t xml:space="preserve">Quais dores foram contratadas e em que ordem serão atacadas?</t>
  </si>
  <si>
    <t xml:space="preserve">Lista priorizada</t>
  </si>
  <si>
    <t xml:space="preserve">Obrigatório</t>
  </si>
  <si>
    <t xml:space="preserve">Qual resultado deve ser alcançado em 30, 60 e 90 dias?</t>
  </si>
  <si>
    <t xml:space="preserve">Meta e prazo</t>
  </si>
  <si>
    <t xml:space="preserve">Baseline</t>
  </si>
  <si>
    <t xml:space="preserve">Qual é a linha de base de volume, tempo, conversão, custo e qualidade?</t>
  </si>
  <si>
    <t xml:space="preserve">Relatório ou amostra</t>
  </si>
  <si>
    <t xml:space="preserve">Qual é o fluxo completo, incluindo exceções e caminhos alternativos?</t>
  </si>
  <si>
    <t xml:space="preserve">Fluxograma validado</t>
  </si>
  <si>
    <t xml:space="preserve">Quantos papéis distintos exigem contexto, permissões ou métricas diferentes?</t>
  </si>
  <si>
    <t xml:space="preserve">Lista de agentes</t>
  </si>
  <si>
    <t xml:space="preserve">Quais são as principais intenções e o resultado esperado de cada uma?</t>
  </si>
  <si>
    <t xml:space="preserve">Matriz intenção x ação</t>
  </si>
  <si>
    <t xml:space="preserve">Qualificação</t>
  </si>
  <si>
    <t xml:space="preserve">Quais critérios qualificam, desqualificam ou priorizam um contato?</t>
  </si>
  <si>
    <t xml:space="preserve">Regras objetivas</t>
  </si>
  <si>
    <t xml:space="preserve">Se aplicável</t>
  </si>
  <si>
    <t xml:space="preserve">Regras</t>
  </si>
  <si>
    <t xml:space="preserve">Quais regras nunca podem ser quebradas e quem autoriza exceções?</t>
  </si>
  <si>
    <t xml:space="preserve">Política validada</t>
  </si>
  <si>
    <t xml:space="preserve">O que a IA não pode dizer, decidir, consultar ou alterar?</t>
  </si>
  <si>
    <t xml:space="preserve">Lista de proibições</t>
  </si>
  <si>
    <t xml:space="preserve">Quando, para quem e com qual resumo a IA transfere?</t>
  </si>
  <si>
    <t xml:space="preserve">Matriz de escalonamento</t>
  </si>
  <si>
    <t xml:space="preserve">Integrações</t>
  </si>
  <si>
    <t xml:space="preserve">O que cada sistema permite consultar, criar ou atualizar?</t>
  </si>
  <si>
    <t xml:space="preserve">Acesso e documentação</t>
  </si>
  <si>
    <t xml:space="preserve">Quais fontes são oficiais e qual hierarquia resolve conflitos?</t>
  </si>
  <si>
    <t xml:space="preserve">Fontes e proprietário</t>
  </si>
  <si>
    <t xml:space="preserve">Tom</t>
  </si>
  <si>
    <t xml:space="preserve">Quais exemplos representam a voz correta e quais devem ser evitados?</t>
  </si>
  <si>
    <t xml:space="preserve">Conversas reais</t>
  </si>
  <si>
    <t xml:space="preserve">Follow-up</t>
  </si>
  <si>
    <t xml:space="preserve">Quando retomar, quantas vezes e em quais horários?</t>
  </si>
  <si>
    <t xml:space="preserve">Cadência aprovada</t>
  </si>
  <si>
    <t xml:space="preserve">CRM</t>
  </si>
  <si>
    <t xml:space="preserve">Quais dados, eventos, tags e status devem ser registrados?</t>
  </si>
  <si>
    <t xml:space="preserve">Dicionário de dados</t>
  </si>
  <si>
    <t xml:space="preserve">Teste</t>
  </si>
  <si>
    <t xml:space="preserve">Quais cenários precisam passar antes do go-live?</t>
  </si>
  <si>
    <t xml:space="preserve">Bateria de testes</t>
  </si>
  <si>
    <t xml:space="preserve">Aceite</t>
  </si>
  <si>
    <t xml:space="preserve">Quem aprova e quais critérios determinam aprovação?</t>
  </si>
  <si>
    <t xml:space="preserve">Critérios assinados</t>
  </si>
  <si>
    <t xml:space="preserve">Quem responde por conteúdo, operação, técnica e decisão?</t>
  </si>
  <si>
    <t xml:space="preserve">RACI</t>
  </si>
  <si>
    <t xml:space="preserve">Plano de Onboarding por agente</t>
  </si>
  <si>
    <t xml:space="preserve">Uma linha por agente. Esta aba transforma o briefing em especificação executável.</t>
  </si>
  <si>
    <t xml:space="preserve">Agente</t>
  </si>
  <si>
    <t xml:space="preserve">Papel</t>
  </si>
  <si>
    <t xml:space="preserve">Canal</t>
  </si>
  <si>
    <t xml:space="preserve">Gatilho inicial</t>
  </si>
  <si>
    <t xml:space="preserve">Responsabilidades</t>
  </si>
  <si>
    <t xml:space="preserve">Fora de escopo</t>
  </si>
  <si>
    <t xml:space="preserve">Dados de entrada</t>
  </si>
  <si>
    <t xml:space="preserve">Saídas</t>
  </si>
  <si>
    <t xml:space="preserve">Regras de decisão</t>
  </si>
  <si>
    <t xml:space="preserve">Handoff humano</t>
  </si>
  <si>
    <t xml:space="preserve">Fonte oficial</t>
  </si>
  <si>
    <t xml:space="preserve">Dono Avraham</t>
  </si>
  <si>
    <t xml:space="preserve">Dono cliente</t>
  </si>
  <si>
    <t xml:space="preserve">Métrica principal</t>
  </si>
  <si>
    <t xml:space="preserve">Meta 90 dias</t>
  </si>
  <si>
    <t xml:space="preserve">Critério de aceite</t>
  </si>
  <si>
    <t xml:space="preserve">Go-live</t>
  </si>
  <si>
    <t xml:space="preserve">Agente SDR</t>
  </si>
  <si>
    <t xml:space="preserve">Qualificar e encaminhar</t>
  </si>
  <si>
    <t xml:space="preserve">WhatsApp</t>
  </si>
  <si>
    <t xml:space="preserve">Resposta à prospecção</t>
  </si>
  <si>
    <t xml:space="preserve">Responder, qualificar, registrar e agendar</t>
  </si>
  <si>
    <t xml:space="preserve">Negociar desconto</t>
  </si>
  <si>
    <t xml:space="preserve">Nome, empresa, necessidade</t>
  </si>
  <si>
    <t xml:space="preserve">Lead qualificado + resumo</t>
  </si>
  <si>
    <t xml:space="preserve">Priorizar fit alto</t>
  </si>
  <si>
    <t xml:space="preserve">Transferir exceções</t>
  </si>
  <si>
    <t xml:space="preserve">CRM + Agenda</t>
  </si>
  <si>
    <t xml:space="preserve">Tabela comercial</t>
  </si>
  <si>
    <t xml:space="preserve">Líder IA</t>
  </si>
  <si>
    <t xml:space="preserve">Gerente comercial</t>
  </si>
  <si>
    <t xml:space="preserve">Leads qualificados</t>
  </si>
  <si>
    <t xml:space="preserve">10 cenários aprovados</t>
  </si>
  <si>
    <t xml:space="preserve">01/11/2026</t>
  </si>
  <si>
    <t xml:space="preserve">Planejado</t>
  </si>
  <si>
    <t xml:space="preserve">Custos e mensalidade</t>
  </si>
  <si>
    <t xml:space="preserve">Estime consumo e operação por cliente/mês. Preços de modelo e câmbio vêm da aba Parâmetros.</t>
  </si>
  <si>
    <t xml:space="preserve">Mês</t>
  </si>
  <si>
    <t xml:space="preserve">Agentes ativos</t>
  </si>
  <si>
    <t xml:space="preserve">Conversas</t>
  </si>
  <si>
    <t xml:space="preserve">Turnos/conversa</t>
  </si>
  <si>
    <t xml:space="preserve">Tokens entrada/turno</t>
  </si>
  <si>
    <t xml:space="preserve">Tokens saída/turno</t>
  </si>
  <si>
    <t xml:space="preserve">Monitoramento (h)</t>
  </si>
  <si>
    <t xml:space="preserve">Otimização (h)</t>
  </si>
  <si>
    <t xml:space="preserve">Suporte (h)</t>
  </si>
  <si>
    <t xml:space="preserve">Relatório (h)</t>
  </si>
  <si>
    <t xml:space="preserve">Gestão cliente (h)</t>
  </si>
  <si>
    <t xml:space="preserve">Outras horas</t>
  </si>
  <si>
    <t xml:space="preserve">Total horas</t>
  </si>
  <si>
    <t xml:space="preserve">Custo trabalho</t>
  </si>
  <si>
    <t xml:space="preserve">Entrada (M tokens)</t>
  </si>
  <si>
    <t xml:space="preserve">Saída (M tokens)</t>
  </si>
  <si>
    <t xml:space="preserve">Custo tokens</t>
  </si>
  <si>
    <t xml:space="preserve">Canal/infra/terceiros</t>
  </si>
  <si>
    <t xml:space="preserve">Custo mensal total</t>
  </si>
  <si>
    <t xml:space="preserve">Mensalidade mínima</t>
  </si>
  <si>
    <t xml:space="preserve">Impacto conservador</t>
  </si>
  <si>
    <t xml:space="preserve">Referência por valor</t>
  </si>
  <si>
    <t xml:space="preserve">Mensalidade sugerida</t>
  </si>
  <si>
    <t xml:space="preserve">Mensalidade fechada</t>
  </si>
  <si>
    <t xml:space="preserve">Margem prevista</t>
  </si>
  <si>
    <t xml:space="preserve">nov/2026</t>
  </si>
  <si>
    <t xml:space="preserve">Relatório mensal de impacto e ROI</t>
  </si>
  <si>
    <t xml:space="preserve">Compare períodos equivalentes. Separe valores observados de estimativas e não conte o mesmo impacto duas vezes.</t>
  </si>
  <si>
    <t xml:space="preserve">Leads baseline</t>
  </si>
  <si>
    <t xml:space="preserve">Leads atual</t>
  </si>
  <si>
    <t xml:space="preserve">Resposta baseline (min)</t>
  </si>
  <si>
    <t xml:space="preserve">Resposta atual (min)</t>
  </si>
  <si>
    <t xml:space="preserve">Conversão baseline</t>
  </si>
  <si>
    <t xml:space="preserve">Vendas incrementais</t>
  </si>
  <si>
    <t xml:space="preserve">Ticket médio</t>
  </si>
  <si>
    <t xml:space="preserve">Margem contribuição</t>
  </si>
  <si>
    <t xml:space="preserve">Margem incremental</t>
  </si>
  <si>
    <t xml:space="preserve">Horas humanas baseline</t>
  </si>
  <si>
    <t xml:space="preserve">Horas humanas atual</t>
  </si>
  <si>
    <t xml:space="preserve">Horas liberadas</t>
  </si>
  <si>
    <t xml:space="preserve">Custo humano/h</t>
  </si>
  <si>
    <t xml:space="preserve">Economia trabalho</t>
  </si>
  <si>
    <t xml:space="preserve">Perdas evitadas</t>
  </si>
  <si>
    <t xml:space="preserve">Impacto total</t>
  </si>
  <si>
    <t xml:space="preserve">Setup pago</t>
  </si>
  <si>
    <t xml:space="preserve">Mensalidade</t>
  </si>
  <si>
    <t xml:space="preserve">Outros custos cliente</t>
  </si>
  <si>
    <t xml:space="preserve">Investimento do mês</t>
  </si>
  <si>
    <t xml:space="preserve">Benefício líquido</t>
  </si>
  <si>
    <t xml:space="preserve">ROI mensal</t>
  </si>
  <si>
    <t xml:space="preserve">Payback setup (meses)</t>
  </si>
  <si>
    <t xml:space="preserve">Tipo de evidência</t>
  </si>
  <si>
    <t xml:space="preserve">Fonte/observação</t>
  </si>
  <si>
    <t xml:space="preserve">Observado</t>
  </si>
  <si>
    <t xml:space="preserve">CRM + folha de ponto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</si>
</sst>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[RED]&quot;(R$ &quot;#,##0.00\);\-"/>
    <numFmt numFmtId="166" formatCode="0.0%"/>
    <numFmt numFmtId="167" formatCode="&quot;R$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554"/>
        <bgColor rgb="FF111827"/>
      </patternFill>
    </fill>
    <fill>
      <patternFill patternType="solid">
        <fgColor rgb="FF0F766E"/>
        <bgColor rgb="FF008080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CA136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0" type="wholeTable"/>
      <tableStyleElement dxfId="11" type="firstColumnStripe"/>
      <tableStyleElement dxfId="12" type="firstRowStripe"/>
      <tableStyleElement dxfId="13" type="lastColumn"/>
      <tableStyleElement dxfId="14" type="firstColumn"/>
      <tableStyleElement dxfId="15" type="headerRow"/>
      <tableStyleElement dxfId="16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4F81BD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5B3D7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72554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scopoSetup" displayName="tblEscopoSetup" ref="A4:AF54" headerRowCount="1" totalsRowCount="0" totalsRowShown="0">
  <autoFilter ref="A4:AF54"/>
  <tableColumns count="32">
    <tableColumn id="1" name="ID oportunidade"/>
    <tableColumn id="2" name="Cliente"/>
    <tableColumn id="3" name="Complexidade"/>
    <tableColumn id="4" name="Agentes"/>
    <tableColumn id="5" name="Fluxos"/>
    <tableColumn id="6" name="Fontes conhecimento"/>
    <tableColumn id="7" name="Integrações simples"/>
    <tableColumn id="8" name="Integrações complexas"/>
    <tableColumn id="9" name="Canais"/>
    <tableColumn id="10" name="Ações customizadas"/>
    <tableColumn id="11" name="Cenários teste"/>
    <tableColumn id="12" name="Sessões treinamento"/>
    <tableColumn id="13" name="Horas migração/outros"/>
    <tableColumn id="14" name="Descoberta (h)"/>
    <tableColumn id="15" name="Mapeamento (h)"/>
    <tableColumn id="16" name="Agentes (h)"/>
    <tableColumn id="17" name="Fluxos (h)"/>
    <tableColumn id="18" name="Conhecimento (h)"/>
    <tableColumn id="19" name="Integrações (h)"/>
    <tableColumn id="20" name="Canais (h)"/>
    <tableColumn id="21" name="Customização (h)"/>
    <tableColumn id="22" name="Testes (h)"/>
    <tableColumn id="23" name="Treinamento (h)"/>
    <tableColumn id="24" name="Subtotal (h)"/>
    <tableColumn id="25" name="Gestão (h)"/>
    <tableColumn id="26" name="Contingência (h)"/>
    <tableColumn id="27" name="Total (h)"/>
    <tableColumn id="28" name="Custo interno"/>
    <tableColumn id="29" name="Preço mínimo"/>
    <tableColumn id="30" name="Preço sugerido"/>
    <tableColumn id="31" name="Margem sugerida"/>
    <tableColumn id="32" name="Prazo (semana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nboarding" displayName="tblOnboarding" ref="A4:H22" headerRowCount="1" totalsRowCount="0" totalsRowShown="0">
  <autoFilter ref="A4:H22"/>
  <tableColumns count="8">
    <tableColumn id="1" name="Bloco"/>
    <tableColumn id="2" name="Pergunta"/>
    <tableColumn id="3" name="Evidência esperada"/>
    <tableColumn id="4" name="Obrigatoriedade"/>
    <tableColumn id="5" name="Resposta/Link"/>
    <tableColumn id="6" name="Responsável"/>
    <tableColumn id="7" name="Prazo"/>
    <tableColumn id="8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peracaoMensal" displayName="tblOperacaoMensal" ref="A4:Z54" headerRowCount="1" totalsRowCount="0" totalsRowShown="0">
  <autoFilter ref="A4:Z54"/>
  <tableColumns count="26">
    <tableColumn id="1" name="Cliente"/>
    <tableColumn id="2" name="Mês"/>
    <tableColumn id="3" name="Agentes ativos"/>
    <tableColumn id="4" name="Conversas"/>
    <tableColumn id="5" name="Turnos/conversa"/>
    <tableColumn id="6" name="Tokens entrada/turno"/>
    <tableColumn id="7" name="Tokens saída/turno"/>
    <tableColumn id="8" name="Monitoramento (h)"/>
    <tableColumn id="9" name="Otimização (h)"/>
    <tableColumn id="10" name="Suporte (h)"/>
    <tableColumn id="11" name="Relatório (h)"/>
    <tableColumn id="12" name="Gestão cliente (h)"/>
    <tableColumn id="13" name="Outras horas"/>
    <tableColumn id="14" name="Total horas"/>
    <tableColumn id="15" name="Custo trabalho"/>
    <tableColumn id="16" name="Entrada (M tokens)"/>
    <tableColumn id="17" name="Saída (M tokens)"/>
    <tableColumn id="18" name="Custo tokens"/>
    <tableColumn id="19" name="Canal/infra/terceiros"/>
    <tableColumn id="20" name="Custo mensal total"/>
    <tableColumn id="21" name="Mensalidade mínima"/>
    <tableColumn id="22" name="Impacto conservador"/>
    <tableColumn id="23" name="Referência por valor"/>
    <tableColumn id="24" name="Mensalidade sugerida"/>
    <tableColumn id="25" name="Mensalidade fechada"/>
    <tableColumn id="26" name="Margem previs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portunidades" displayName="tblOportunidades" ref="A4:AD105" headerRowCount="1" totalsRowCount="0" totalsRowShown="0">
  <autoFilter ref="A4:AD105"/>
  <tableColumns count="30">
    <tableColumn id="1" name="ID"/>
    <tableColumn id="2" name="Data"/>
    <tableColumn id="3" name="Cliente"/>
    <tableColumn id="4" name="Vendedor"/>
    <tableColumn id="5" name="Segmento"/>
    <tableColumn id="6" name="Contatos/mês"/>
    <tableColumn id="7" name="Ticket médio (R$)"/>
    <tableColumn id="8" name="Conversão atual"/>
    <tableColumn id="9" name="% sem follow-up"/>
    <tableColumn id="10" name="1ª resposta (min)"/>
    <tableColumn id="11" name="Dor e prioridade (0-5)"/>
    <tableColumn id="12" name="Impacto econômico (0-5)"/>
    <tableColumn id="13" name="Volume/repetição (0-5)"/>
    <tableColumn id="14" name="Prontidão operacional (0-5)"/>
    <tableColumn id="15" name="Fit comercial (0-5)"/>
    <tableColumn id="16" name="Bloqueador crítico?"/>
    <tableColumn id="17" name="Nota de fit"/>
    <tableColumn id="18" name="Classificação"/>
    <tableColumn id="19" name="Receita exposta/mês"/>
    <tableColumn id="20" name="Dor principal"/>
    <tableColumn id="21" name="Resultado desejado"/>
    <tableColumn id="22" name="Processo atual"/>
    <tableColumn id="23" name="Sistemas/canais"/>
    <tableColumn id="24" name="Decisor/dono"/>
    <tableColumn id="25" name="Faixa de investimento"/>
    <tableColumn id="26" name="Urgência/data"/>
    <tableColumn id="27" name="Próximo passo"/>
    <tableColumn id="28" name="Status"/>
    <tableColumn id="29" name="Tese para proposta"/>
    <tableColumn id="30" name="Motivo sem fit/per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lanoCliente" displayName="tblPlanoCliente" ref="A4:U54" headerRowCount="1" totalsRowCount="0" totalsRowShown="0">
  <autoFilter ref="A4:U54"/>
  <tableColumns count="21">
    <tableColumn id="1" name="Cliente"/>
    <tableColumn id="2" name="Agente"/>
    <tableColumn id="3" name="Papel"/>
    <tableColumn id="4" name="Canal"/>
    <tableColumn id="5" name="Gatilho inicial"/>
    <tableColumn id="6" name="Responsabilidades"/>
    <tableColumn id="7" name="Fora de escopo"/>
    <tableColumn id="8" name="Dados de entrada"/>
    <tableColumn id="9" name="Saídas"/>
    <tableColumn id="10" name="Regras de decisão"/>
    <tableColumn id="11" name="Handoff humano"/>
    <tableColumn id="12" name="Integrações"/>
    <tableColumn id="13" name="Fonte oficial"/>
    <tableColumn id="14" name="Dono Avraham"/>
    <tableColumn id="15" name="Dono cliente"/>
    <tableColumn id="16" name="Métrica principal"/>
    <tableColumn id="17" name="Baseline"/>
    <tableColumn id="18" name="Meta 90 dias"/>
    <tableColumn id="19" name="Critério de aceite"/>
    <tableColumn id="20" name="Go-live"/>
    <tableColumn id="21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elatorioROI" displayName="tblRelatorioROI" ref="A4:AB54" headerRowCount="1" totalsRowCount="0" totalsRowShown="0">
  <autoFilter ref="A4:AB54"/>
  <tableColumns count="28">
    <tableColumn id="1" name="Cliente"/>
    <tableColumn id="2" name="Mês"/>
    <tableColumn id="3" name="Leads baseline"/>
    <tableColumn id="4" name="Leads atual"/>
    <tableColumn id="5" name="Resposta baseline (min)"/>
    <tableColumn id="6" name="Resposta atual (min)"/>
    <tableColumn id="7" name="Conversão baseline"/>
    <tableColumn id="8" name="Conversão atual"/>
    <tableColumn id="9" name="Vendas incrementais"/>
    <tableColumn id="10" name="Ticket médio"/>
    <tableColumn id="11" name="Margem contribuição"/>
    <tableColumn id="12" name="Margem incremental"/>
    <tableColumn id="13" name="Horas humanas baseline"/>
    <tableColumn id="14" name="Horas humanas atual"/>
    <tableColumn id="15" name="Horas liberadas"/>
    <tableColumn id="16" name="Custo humano/h"/>
    <tableColumn id="17" name="Economia trabalho"/>
    <tableColumn id="18" name="Perdas evitadas"/>
    <tableColumn id="19" name="Impacto total"/>
    <tableColumn id="20" name="Setup pago"/>
    <tableColumn id="21" name="Mensalidade"/>
    <tableColumn id="22" name="Outros custos cliente"/>
    <tableColumn id="23" name="Investimento do mês"/>
    <tableColumn id="24" name="Benefício líquido"/>
    <tableColumn id="25" name="ROI mensal"/>
    <tableColumn id="26" name="Payback setup (meses)"/>
    <tableColumn id="27" name="Tipo de evidência"/>
    <tableColumn id="28" name="Fonte/observaç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oteiroPreVenda" displayName="tblRoteiroPreVenda" ref="A4:D26" headerRowCount="1" totalsRowCount="0" totalsRowShown="0">
  <autoFilter ref="A4:D26"/>
  <tableColumns count="4">
    <tableColumn id="1" name="Bloco"/>
    <tableColumn id="2" name="Pergunta"/>
    <tableColumn id="3" name="O que revela"/>
    <tableColumn id="4" name="Formato da respo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9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</row>
    <row r="5" customFormat="false" ht="15" hidden="false" customHeight="false" outlineLevel="0" collapsed="false">
      <c r="A5" s="5" t="s">
        <v>5</v>
      </c>
      <c r="B5" s="5" t="s">
        <v>6</v>
      </c>
      <c r="C5" s="5" t="s">
        <v>7</v>
      </c>
      <c r="D5" s="3"/>
      <c r="E5" s="3"/>
      <c r="F5" s="3"/>
      <c r="G5" s="3"/>
      <c r="H5" s="3"/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  <c r="D6" s="3"/>
      <c r="E6" s="3"/>
      <c r="F6" s="3"/>
      <c r="G6" s="3"/>
      <c r="H6" s="3"/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13</v>
      </c>
      <c r="D7" s="3"/>
      <c r="E7" s="3"/>
      <c r="F7" s="3"/>
      <c r="G7" s="3"/>
      <c r="H7" s="3"/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  <c r="D8" s="3"/>
      <c r="E8" s="3"/>
      <c r="F8" s="3"/>
      <c r="G8" s="3"/>
      <c r="H8" s="3"/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19</v>
      </c>
      <c r="D9" s="3"/>
      <c r="E9" s="3"/>
      <c r="F9" s="3"/>
      <c r="G9" s="3"/>
      <c r="H9" s="3"/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22</v>
      </c>
      <c r="D10" s="3"/>
      <c r="E10" s="3"/>
      <c r="F10" s="3"/>
      <c r="G10" s="3"/>
      <c r="H10" s="3"/>
    </row>
    <row r="11" customFormat="false" ht="15" hidden="false" customHeight="false" outlineLevel="0" collapsed="false">
      <c r="A11" s="5" t="s">
        <v>23</v>
      </c>
      <c r="B11" s="5" t="s">
        <v>24</v>
      </c>
      <c r="C11" s="5" t="s">
        <v>25</v>
      </c>
      <c r="D11" s="3"/>
      <c r="E11" s="3"/>
      <c r="F11" s="3"/>
      <c r="G11" s="3"/>
      <c r="H11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72"/>
  </cols>
  <sheetData>
    <row r="1" customFormat="false" ht="31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42" hidden="false" customHeight="true" outlineLevel="0" collapsed="false">
      <c r="A4" s="4" t="s">
        <v>28</v>
      </c>
      <c r="B4" s="4" t="s">
        <v>29</v>
      </c>
      <c r="C4" s="4" t="s">
        <v>30</v>
      </c>
      <c r="D4" s="3"/>
      <c r="E4" s="3"/>
      <c r="F4" s="3"/>
      <c r="G4" s="3"/>
      <c r="H4" s="3"/>
    </row>
    <row r="5" customFormat="false" ht="15" hidden="false" customHeight="false" outlineLevel="0" collapsed="false">
      <c r="A5" s="5" t="s">
        <v>31</v>
      </c>
      <c r="B5" s="6" t="n">
        <v>120</v>
      </c>
      <c r="C5" s="5" t="s">
        <v>32</v>
      </c>
      <c r="D5" s="3"/>
      <c r="E5" s="3"/>
      <c r="F5" s="3"/>
      <c r="G5" s="3"/>
      <c r="H5" s="3"/>
    </row>
    <row r="6" customFormat="false" ht="15" hidden="false" customHeight="false" outlineLevel="0" collapsed="false">
      <c r="A6" s="5" t="s">
        <v>33</v>
      </c>
      <c r="B6" s="6" t="n">
        <v>300</v>
      </c>
      <c r="C6" s="5" t="s">
        <v>34</v>
      </c>
      <c r="D6" s="3"/>
      <c r="E6" s="3"/>
      <c r="F6" s="3"/>
      <c r="G6" s="3"/>
      <c r="H6" s="3"/>
    </row>
    <row r="7" customFormat="false" ht="15" hidden="false" customHeight="false" outlineLevel="0" collapsed="false">
      <c r="A7" s="5" t="s">
        <v>35</v>
      </c>
      <c r="B7" s="7" t="n">
        <v>0.6</v>
      </c>
      <c r="C7" s="5" t="s">
        <v>36</v>
      </c>
      <c r="D7" s="3"/>
      <c r="E7" s="3"/>
      <c r="F7" s="3"/>
      <c r="G7" s="3"/>
      <c r="H7" s="3"/>
    </row>
    <row r="8" customFormat="false" ht="15" hidden="false" customHeight="false" outlineLevel="0" collapsed="false">
      <c r="A8" s="5" t="s">
        <v>37</v>
      </c>
      <c r="B8" s="7" t="n">
        <v>0.15</v>
      </c>
      <c r="C8" s="5" t="s">
        <v>38</v>
      </c>
      <c r="D8" s="3"/>
      <c r="E8" s="3"/>
      <c r="F8" s="3"/>
      <c r="G8" s="3"/>
      <c r="H8" s="3"/>
    </row>
    <row r="9" customFormat="false" ht="15" hidden="false" customHeight="false" outlineLevel="0" collapsed="false">
      <c r="A9" s="5" t="s">
        <v>39</v>
      </c>
      <c r="B9" s="7" t="n">
        <v>0.1</v>
      </c>
      <c r="C9" s="5" t="s">
        <v>40</v>
      </c>
      <c r="D9" s="3"/>
      <c r="E9" s="3"/>
      <c r="F9" s="3"/>
      <c r="G9" s="3"/>
      <c r="H9" s="3"/>
    </row>
    <row r="10" customFormat="false" ht="15" hidden="false" customHeight="false" outlineLevel="0" collapsed="false">
      <c r="A10" s="5" t="s">
        <v>41</v>
      </c>
      <c r="B10" s="8" t="n">
        <v>20</v>
      </c>
      <c r="C10" s="5" t="s">
        <v>42</v>
      </c>
      <c r="D10" s="3"/>
      <c r="E10" s="3"/>
      <c r="F10" s="3"/>
      <c r="G10" s="3"/>
      <c r="H10" s="3"/>
    </row>
    <row r="11" customFormat="false" ht="15" hidden="false" customHeight="false" outlineLevel="0" collapsed="false">
      <c r="A11" s="5" t="s">
        <v>43</v>
      </c>
      <c r="B11" s="7" t="n">
        <v>0.1</v>
      </c>
      <c r="C11" s="5" t="s">
        <v>44</v>
      </c>
      <c r="D11" s="3"/>
      <c r="E11" s="3"/>
      <c r="F11" s="3"/>
      <c r="G11" s="3"/>
      <c r="H11" s="3"/>
    </row>
    <row r="12" customFormat="false" ht="15" hidden="false" customHeight="false" outlineLevel="0" collapsed="false">
      <c r="A12" s="5" t="s">
        <v>45</v>
      </c>
      <c r="B12" s="7" t="n">
        <v>0.3</v>
      </c>
      <c r="C12" s="5" t="s">
        <v>46</v>
      </c>
      <c r="D12" s="3"/>
      <c r="E12" s="3"/>
      <c r="F12" s="3"/>
      <c r="G12" s="3"/>
      <c r="H12" s="3"/>
    </row>
    <row r="13" customFormat="false" ht="15" hidden="false" customHeight="false" outlineLevel="0" collapsed="false">
      <c r="A13" s="5" t="s">
        <v>47</v>
      </c>
      <c r="B13" s="6" t="n">
        <v>5.5</v>
      </c>
      <c r="C13" s="5" t="s">
        <v>48</v>
      </c>
      <c r="D13" s="3"/>
      <c r="E13" s="3"/>
      <c r="F13" s="3"/>
      <c r="G13" s="3"/>
      <c r="H13" s="3"/>
    </row>
    <row r="14" customFormat="false" ht="15" hidden="false" customHeight="false" outlineLevel="0" collapsed="false">
      <c r="A14" s="5" t="s">
        <v>49</v>
      </c>
      <c r="B14" s="6" t="n">
        <v>1</v>
      </c>
      <c r="C14" s="5" t="s">
        <v>50</v>
      </c>
      <c r="D14" s="3"/>
      <c r="E14" s="3"/>
      <c r="F14" s="3"/>
      <c r="G14" s="3"/>
      <c r="H14" s="3"/>
    </row>
    <row r="15" customFormat="false" ht="15" hidden="false" customHeight="false" outlineLevel="0" collapsed="false">
      <c r="A15" s="5" t="s">
        <v>51</v>
      </c>
      <c r="B15" s="6" t="n">
        <v>4</v>
      </c>
      <c r="C15" s="5" t="s">
        <v>50</v>
      </c>
      <c r="D15" s="3"/>
      <c r="E15" s="3"/>
      <c r="F15" s="3"/>
      <c r="G15" s="3"/>
      <c r="H15" s="3"/>
    </row>
    <row r="16" customFormat="false" ht="15" hidden="false" customHeight="false" outlineLevel="0" collapsed="false">
      <c r="A16" s="5" t="s">
        <v>52</v>
      </c>
      <c r="B16" s="8" t="n">
        <v>4</v>
      </c>
      <c r="C16" s="5" t="s">
        <v>53</v>
      </c>
      <c r="D16" s="3"/>
      <c r="E16" s="3"/>
      <c r="F16" s="3"/>
      <c r="G16" s="3"/>
      <c r="H16" s="3"/>
    </row>
    <row r="17" customFormat="false" ht="15" hidden="false" customHeight="false" outlineLevel="0" collapsed="false">
      <c r="A17" s="5" t="s">
        <v>54</v>
      </c>
      <c r="B17" s="8" t="n">
        <v>6</v>
      </c>
      <c r="C17" s="5" t="s">
        <v>55</v>
      </c>
      <c r="D17" s="3"/>
      <c r="E17" s="3"/>
      <c r="F17" s="3"/>
      <c r="G17" s="3"/>
      <c r="H17" s="3"/>
    </row>
    <row r="18" customFormat="false" ht="15" hidden="false" customHeight="false" outlineLevel="0" collapsed="false">
      <c r="A18" s="5" t="s">
        <v>56</v>
      </c>
      <c r="B18" s="8" t="n">
        <v>10</v>
      </c>
      <c r="C18" s="5" t="s">
        <v>57</v>
      </c>
      <c r="D18" s="3"/>
      <c r="E18" s="3"/>
      <c r="F18" s="3"/>
      <c r="G18" s="3"/>
      <c r="H18" s="3"/>
    </row>
    <row r="19" customFormat="false" ht="15" hidden="false" customHeight="false" outlineLevel="0" collapsed="false">
      <c r="A19" s="5" t="s">
        <v>58</v>
      </c>
      <c r="B19" s="8" t="n">
        <v>1.5</v>
      </c>
      <c r="C19" s="5" t="s">
        <v>59</v>
      </c>
      <c r="D19" s="3"/>
      <c r="E19" s="3"/>
      <c r="F19" s="3"/>
      <c r="G19" s="3"/>
      <c r="H19" s="3"/>
    </row>
    <row r="20" customFormat="false" ht="15" hidden="false" customHeight="false" outlineLevel="0" collapsed="false">
      <c r="A20" s="5" t="s">
        <v>60</v>
      </c>
      <c r="B20" s="8" t="n">
        <v>0.5</v>
      </c>
      <c r="C20" s="5" t="s">
        <v>61</v>
      </c>
      <c r="D20" s="3"/>
      <c r="E20" s="3"/>
      <c r="F20" s="3"/>
      <c r="G20" s="3"/>
      <c r="H20" s="3"/>
    </row>
    <row r="21" customFormat="false" ht="15" hidden="false" customHeight="false" outlineLevel="0" collapsed="false">
      <c r="A21" s="5" t="s">
        <v>62</v>
      </c>
      <c r="B21" s="8" t="n">
        <v>8</v>
      </c>
      <c r="C21" s="5" t="s">
        <v>63</v>
      </c>
      <c r="D21" s="3"/>
      <c r="E21" s="3"/>
      <c r="F21" s="3"/>
      <c r="G21" s="3"/>
      <c r="H21" s="3"/>
    </row>
    <row r="22" customFormat="false" ht="15" hidden="false" customHeight="false" outlineLevel="0" collapsed="false">
      <c r="A22" s="5" t="s">
        <v>64</v>
      </c>
      <c r="B22" s="8" t="n">
        <v>24</v>
      </c>
      <c r="C22" s="5" t="s">
        <v>65</v>
      </c>
      <c r="D22" s="3"/>
      <c r="E22" s="3"/>
      <c r="F22" s="3"/>
      <c r="G22" s="3"/>
      <c r="H22" s="3"/>
    </row>
    <row r="23" customFormat="false" ht="15" hidden="false" customHeight="false" outlineLevel="0" collapsed="false">
      <c r="A23" s="5" t="s">
        <v>66</v>
      </c>
      <c r="B23" s="8" t="n">
        <v>4</v>
      </c>
      <c r="C23" s="5" t="s">
        <v>67</v>
      </c>
      <c r="D23" s="3"/>
      <c r="E23" s="3"/>
      <c r="F23" s="3"/>
      <c r="G23" s="3"/>
      <c r="H23" s="3"/>
    </row>
    <row r="24" customFormat="false" ht="15" hidden="false" customHeight="false" outlineLevel="0" collapsed="false">
      <c r="A24" s="5" t="s">
        <v>68</v>
      </c>
      <c r="B24" s="8" t="n">
        <v>6</v>
      </c>
      <c r="C24" s="5" t="s">
        <v>69</v>
      </c>
      <c r="D24" s="3"/>
      <c r="E24" s="3"/>
      <c r="F24" s="3"/>
      <c r="G24" s="3"/>
      <c r="H24" s="3"/>
    </row>
    <row r="25" customFormat="false" ht="15" hidden="false" customHeight="false" outlineLevel="0" collapsed="false">
      <c r="A25" s="5" t="s">
        <v>70</v>
      </c>
      <c r="B25" s="8" t="n">
        <v>0.5</v>
      </c>
      <c r="C25" s="5" t="s">
        <v>71</v>
      </c>
      <c r="D25" s="3"/>
      <c r="E25" s="3"/>
      <c r="F25" s="3"/>
      <c r="G25" s="3"/>
      <c r="H25" s="3"/>
    </row>
    <row r="26" customFormat="false" ht="15" hidden="false" customHeight="false" outlineLevel="0" collapsed="false">
      <c r="A26" s="5" t="s">
        <v>72</v>
      </c>
      <c r="B26" s="8" t="n">
        <v>3</v>
      </c>
      <c r="C26" s="5" t="s">
        <v>73</v>
      </c>
      <c r="D26" s="3"/>
      <c r="E26" s="3"/>
      <c r="F26" s="3"/>
      <c r="G26" s="3"/>
      <c r="H26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42" hidden="false" customHeight="true" outlineLevel="0" collapsed="false">
      <c r="A4" s="4" t="s">
        <v>76</v>
      </c>
      <c r="B4" s="4" t="s">
        <v>77</v>
      </c>
      <c r="C4" s="4" t="s">
        <v>78</v>
      </c>
      <c r="D4" s="4" t="s">
        <v>79</v>
      </c>
      <c r="E4" s="3"/>
      <c r="F4" s="3"/>
      <c r="G4" s="3"/>
      <c r="H4" s="3"/>
    </row>
    <row r="5" customFormat="false" ht="15" hidden="false" customHeight="false" outlineLevel="0" collapsed="false">
      <c r="A5" s="5" t="s">
        <v>80</v>
      </c>
      <c r="B5" s="5" t="s">
        <v>81</v>
      </c>
      <c r="C5" s="5" t="s">
        <v>82</v>
      </c>
      <c r="D5" s="5" t="s">
        <v>83</v>
      </c>
      <c r="E5" s="3"/>
      <c r="F5" s="3"/>
      <c r="G5" s="3"/>
      <c r="H5" s="3"/>
    </row>
    <row r="6" customFormat="false" ht="15" hidden="false" customHeight="false" outlineLevel="0" collapsed="false">
      <c r="A6" s="5" t="s">
        <v>80</v>
      </c>
      <c r="B6" s="5" t="s">
        <v>84</v>
      </c>
      <c r="C6" s="5" t="s">
        <v>85</v>
      </c>
      <c r="D6" s="5" t="s">
        <v>83</v>
      </c>
      <c r="E6" s="3"/>
      <c r="F6" s="3"/>
      <c r="G6" s="3"/>
      <c r="H6" s="3"/>
    </row>
    <row r="7" customFormat="false" ht="15" hidden="false" customHeight="false" outlineLevel="0" collapsed="false">
      <c r="A7" s="5" t="s">
        <v>86</v>
      </c>
      <c r="B7" s="5" t="s">
        <v>87</v>
      </c>
      <c r="C7" s="5" t="s">
        <v>88</v>
      </c>
      <c r="D7" s="5" t="s">
        <v>83</v>
      </c>
      <c r="E7" s="3"/>
      <c r="F7" s="3"/>
      <c r="G7" s="3"/>
      <c r="H7" s="3"/>
    </row>
    <row r="8" customFormat="false" ht="15" hidden="false" customHeight="false" outlineLevel="0" collapsed="false">
      <c r="A8" s="5" t="s">
        <v>86</v>
      </c>
      <c r="B8" s="5" t="s">
        <v>89</v>
      </c>
      <c r="C8" s="5" t="s">
        <v>90</v>
      </c>
      <c r="D8" s="5" t="s">
        <v>83</v>
      </c>
      <c r="E8" s="3"/>
      <c r="F8" s="3"/>
      <c r="G8" s="3"/>
      <c r="H8" s="3"/>
    </row>
    <row r="9" customFormat="false" ht="15" hidden="false" customHeight="false" outlineLevel="0" collapsed="false">
      <c r="A9" s="5" t="s">
        <v>91</v>
      </c>
      <c r="B9" s="5" t="s">
        <v>92</v>
      </c>
      <c r="C9" s="5" t="s">
        <v>93</v>
      </c>
      <c r="D9" s="5" t="s">
        <v>83</v>
      </c>
      <c r="E9" s="3"/>
      <c r="F9" s="3"/>
      <c r="G9" s="3"/>
      <c r="H9" s="3"/>
    </row>
    <row r="10" customFormat="false" ht="15" hidden="false" customHeight="false" outlineLevel="0" collapsed="false">
      <c r="A10" s="5" t="s">
        <v>91</v>
      </c>
      <c r="B10" s="5" t="s">
        <v>94</v>
      </c>
      <c r="C10" s="5" t="s">
        <v>95</v>
      </c>
      <c r="D10" s="5" t="s">
        <v>83</v>
      </c>
      <c r="E10" s="3"/>
      <c r="F10" s="3"/>
      <c r="G10" s="3"/>
      <c r="H10" s="3"/>
    </row>
    <row r="11" customFormat="false" ht="15" hidden="false" customHeight="false" outlineLevel="0" collapsed="false">
      <c r="A11" s="5" t="s">
        <v>96</v>
      </c>
      <c r="B11" s="5" t="s">
        <v>97</v>
      </c>
      <c r="C11" s="5" t="s">
        <v>98</v>
      </c>
      <c r="D11" s="5" t="s">
        <v>99</v>
      </c>
      <c r="E11" s="3"/>
      <c r="F11" s="3"/>
      <c r="G11" s="3"/>
      <c r="H11" s="3"/>
    </row>
    <row r="12" customFormat="false" ht="15" hidden="false" customHeight="false" outlineLevel="0" collapsed="false">
      <c r="A12" s="5" t="s">
        <v>100</v>
      </c>
      <c r="B12" s="5" t="s">
        <v>101</v>
      </c>
      <c r="C12" s="5" t="s">
        <v>102</v>
      </c>
      <c r="D12" s="5" t="s">
        <v>103</v>
      </c>
      <c r="E12" s="3"/>
      <c r="F12" s="3"/>
      <c r="G12" s="3"/>
      <c r="H12" s="3"/>
    </row>
    <row r="13" customFormat="false" ht="15" hidden="false" customHeight="false" outlineLevel="0" collapsed="false">
      <c r="A13" s="5" t="s">
        <v>100</v>
      </c>
      <c r="B13" s="5" t="s">
        <v>104</v>
      </c>
      <c r="C13" s="5" t="s">
        <v>105</v>
      </c>
      <c r="D13" s="5" t="s">
        <v>106</v>
      </c>
      <c r="E13" s="3"/>
      <c r="F13" s="3"/>
      <c r="G13" s="3"/>
      <c r="H13" s="3"/>
    </row>
    <row r="14" customFormat="false" ht="15" hidden="false" customHeight="false" outlineLevel="0" collapsed="false">
      <c r="A14" s="5" t="s">
        <v>100</v>
      </c>
      <c r="B14" s="5" t="s">
        <v>107</v>
      </c>
      <c r="C14" s="5" t="s">
        <v>108</v>
      </c>
      <c r="D14" s="5" t="s">
        <v>109</v>
      </c>
      <c r="E14" s="3"/>
      <c r="F14" s="3"/>
      <c r="G14" s="3"/>
      <c r="H14" s="3"/>
    </row>
    <row r="15" customFormat="false" ht="15" hidden="false" customHeight="false" outlineLevel="0" collapsed="false">
      <c r="A15" s="5" t="s">
        <v>100</v>
      </c>
      <c r="B15" s="5" t="s">
        <v>110</v>
      </c>
      <c r="C15" s="5" t="s">
        <v>111</v>
      </c>
      <c r="D15" s="5" t="s">
        <v>99</v>
      </c>
      <c r="E15" s="3"/>
      <c r="F15" s="3"/>
      <c r="G15" s="3"/>
      <c r="H15" s="3"/>
    </row>
    <row r="16" customFormat="false" ht="15" hidden="false" customHeight="false" outlineLevel="0" collapsed="false">
      <c r="A16" s="5" t="s">
        <v>112</v>
      </c>
      <c r="B16" s="5" t="s">
        <v>113</v>
      </c>
      <c r="C16" s="5" t="s">
        <v>114</v>
      </c>
      <c r="D16" s="5" t="s">
        <v>83</v>
      </c>
      <c r="E16" s="3"/>
      <c r="F16" s="3"/>
      <c r="G16" s="3"/>
      <c r="H16" s="3"/>
    </row>
    <row r="17" customFormat="false" ht="15" hidden="false" customHeight="false" outlineLevel="0" collapsed="false">
      <c r="A17" s="5" t="s">
        <v>112</v>
      </c>
      <c r="B17" s="5" t="s">
        <v>115</v>
      </c>
      <c r="C17" s="5" t="s">
        <v>116</v>
      </c>
      <c r="D17" s="5" t="s">
        <v>83</v>
      </c>
      <c r="E17" s="3"/>
      <c r="F17" s="3"/>
      <c r="G17" s="3"/>
      <c r="H17" s="3"/>
    </row>
    <row r="18" customFormat="false" ht="15" hidden="false" customHeight="false" outlineLevel="0" collapsed="false">
      <c r="A18" s="5" t="s">
        <v>117</v>
      </c>
      <c r="B18" s="5" t="s">
        <v>118</v>
      </c>
      <c r="C18" s="5" t="s">
        <v>119</v>
      </c>
      <c r="D18" s="5" t="s">
        <v>120</v>
      </c>
      <c r="E18" s="3"/>
      <c r="F18" s="3"/>
      <c r="G18" s="3"/>
      <c r="H18" s="3"/>
    </row>
    <row r="19" customFormat="false" ht="15" hidden="false" customHeight="false" outlineLevel="0" collapsed="false">
      <c r="A19" s="5" t="s">
        <v>117</v>
      </c>
      <c r="B19" s="5" t="s">
        <v>121</v>
      </c>
      <c r="C19" s="5" t="s">
        <v>122</v>
      </c>
      <c r="D19" s="5" t="s">
        <v>123</v>
      </c>
      <c r="E19" s="3"/>
      <c r="F19" s="3"/>
      <c r="G19" s="3"/>
      <c r="H19" s="3"/>
    </row>
    <row r="20" customFormat="false" ht="15" hidden="false" customHeight="false" outlineLevel="0" collapsed="false">
      <c r="A20" s="5" t="s">
        <v>124</v>
      </c>
      <c r="B20" s="5" t="s">
        <v>125</v>
      </c>
      <c r="C20" s="5" t="s">
        <v>126</v>
      </c>
      <c r="D20" s="5" t="s">
        <v>120</v>
      </c>
      <c r="E20" s="3"/>
      <c r="F20" s="3"/>
      <c r="G20" s="3"/>
      <c r="H20" s="3"/>
    </row>
    <row r="21" customFormat="false" ht="15" hidden="false" customHeight="false" outlineLevel="0" collapsed="false">
      <c r="A21" s="5" t="s">
        <v>127</v>
      </c>
      <c r="B21" s="5" t="s">
        <v>128</v>
      </c>
      <c r="C21" s="5" t="s">
        <v>129</v>
      </c>
      <c r="D21" s="5" t="s">
        <v>83</v>
      </c>
      <c r="E21" s="3"/>
      <c r="F21" s="3"/>
      <c r="G21" s="3"/>
      <c r="H21" s="3"/>
    </row>
    <row r="22" customFormat="false" ht="15" hidden="false" customHeight="false" outlineLevel="0" collapsed="false">
      <c r="A22" s="5" t="s">
        <v>127</v>
      </c>
      <c r="B22" s="5" t="s">
        <v>130</v>
      </c>
      <c r="C22" s="5" t="s">
        <v>131</v>
      </c>
      <c r="D22" s="5" t="s">
        <v>83</v>
      </c>
      <c r="E22" s="3"/>
      <c r="F22" s="3"/>
      <c r="G22" s="3"/>
      <c r="H22" s="3"/>
    </row>
    <row r="23" customFormat="false" ht="15" hidden="false" customHeight="false" outlineLevel="0" collapsed="false">
      <c r="A23" s="5" t="s">
        <v>132</v>
      </c>
      <c r="B23" s="5" t="s">
        <v>133</v>
      </c>
      <c r="C23" s="5" t="s">
        <v>134</v>
      </c>
      <c r="D23" s="5" t="s">
        <v>83</v>
      </c>
      <c r="E23" s="3"/>
      <c r="F23" s="3"/>
      <c r="G23" s="3"/>
      <c r="H23" s="3"/>
    </row>
    <row r="24" customFormat="false" ht="15" hidden="false" customHeight="false" outlineLevel="0" collapsed="false">
      <c r="A24" s="5" t="s">
        <v>132</v>
      </c>
      <c r="B24" s="5" t="s">
        <v>135</v>
      </c>
      <c r="C24" s="5" t="s">
        <v>136</v>
      </c>
      <c r="D24" s="5" t="s">
        <v>137</v>
      </c>
      <c r="E24" s="3"/>
      <c r="F24" s="3"/>
      <c r="G24" s="3"/>
      <c r="H24" s="3"/>
    </row>
    <row r="25" customFormat="false" ht="15" hidden="false" customHeight="false" outlineLevel="0" collapsed="false">
      <c r="A25" s="5" t="s">
        <v>138</v>
      </c>
      <c r="B25" s="5" t="s">
        <v>139</v>
      </c>
      <c r="C25" s="5" t="s">
        <v>140</v>
      </c>
      <c r="D25" s="5" t="s">
        <v>141</v>
      </c>
      <c r="E25" s="3"/>
      <c r="F25" s="3"/>
      <c r="G25" s="3"/>
      <c r="H25" s="3"/>
    </row>
    <row r="26" customFormat="false" ht="15" hidden="false" customHeight="false" outlineLevel="0" collapsed="false">
      <c r="A26" s="5" t="s">
        <v>138</v>
      </c>
      <c r="B26" s="5" t="s">
        <v>142</v>
      </c>
      <c r="C26" s="5" t="s">
        <v>143</v>
      </c>
      <c r="D26" s="5" t="s">
        <v>144</v>
      </c>
      <c r="E26" s="3"/>
      <c r="F26" s="3"/>
      <c r="G26" s="3"/>
      <c r="H26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9" min="1" style="0" width="17"/>
    <col collapsed="false" customWidth="true" hidden="false" outlineLevel="0" max="24" min="20" style="0" width="30"/>
    <col collapsed="false" customWidth="true" hidden="false" outlineLevel="0" max="26" min="25" style="0" width="17"/>
    <col collapsed="false" customWidth="true" hidden="false" outlineLevel="0" max="27" min="27" style="0" width="30"/>
    <col collapsed="false" customWidth="true" hidden="false" outlineLevel="0" max="28" min="28" style="0" width="17"/>
    <col collapsed="false" customWidth="true" hidden="false" outlineLevel="0" max="30" min="29" style="0" width="30"/>
  </cols>
  <sheetData>
    <row r="1" customFormat="false" ht="31.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31.5" hidden="false" customHeight="tru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customFormat="false" ht="42" hidden="false" customHeight="true" outlineLevel="0" collapsed="false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151</v>
      </c>
      <c r="F4" s="4" t="s">
        <v>152</v>
      </c>
      <c r="G4" s="4" t="s">
        <v>153</v>
      </c>
      <c r="H4" s="4" t="s">
        <v>154</v>
      </c>
      <c r="I4" s="4" t="s">
        <v>155</v>
      </c>
      <c r="J4" s="4" t="s">
        <v>156</v>
      </c>
      <c r="K4" s="4" t="s">
        <v>157</v>
      </c>
      <c r="L4" s="4" t="s">
        <v>158</v>
      </c>
      <c r="M4" s="4" t="s">
        <v>159</v>
      </c>
      <c r="N4" s="4" t="s">
        <v>160</v>
      </c>
      <c r="O4" s="4" t="s">
        <v>161</v>
      </c>
      <c r="P4" s="4" t="s">
        <v>162</v>
      </c>
      <c r="Q4" s="4" t="s">
        <v>163</v>
      </c>
      <c r="R4" s="4" t="s">
        <v>164</v>
      </c>
      <c r="S4" s="4" t="s">
        <v>165</v>
      </c>
      <c r="T4" s="4" t="s">
        <v>93</v>
      </c>
      <c r="U4" s="4" t="s">
        <v>166</v>
      </c>
      <c r="V4" s="4" t="s">
        <v>167</v>
      </c>
      <c r="W4" s="4" t="s">
        <v>168</v>
      </c>
      <c r="X4" s="4" t="s">
        <v>169</v>
      </c>
      <c r="Y4" s="4" t="s">
        <v>170</v>
      </c>
      <c r="Z4" s="4" t="s">
        <v>171</v>
      </c>
      <c r="AA4" s="4" t="s">
        <v>172</v>
      </c>
      <c r="AB4" s="4" t="s">
        <v>173</v>
      </c>
      <c r="AC4" s="4" t="s">
        <v>174</v>
      </c>
      <c r="AD4" s="4" t="s">
        <v>175</v>
      </c>
    </row>
    <row r="5" customFormat="false" ht="23.85" hidden="false" customHeight="false" outlineLevel="0" collapsed="false">
      <c r="A5" s="8" t="s">
        <v>176</v>
      </c>
      <c r="B5" s="8" t="s">
        <v>177</v>
      </c>
      <c r="C5" s="8" t="s">
        <v>178</v>
      </c>
      <c r="D5" s="8" t="s">
        <v>179</v>
      </c>
      <c r="E5" s="8" t="s">
        <v>180</v>
      </c>
      <c r="F5" s="8" t="n">
        <v>1200</v>
      </c>
      <c r="G5" s="9" t="n">
        <v>2500</v>
      </c>
      <c r="H5" s="7" t="n">
        <v>0.08</v>
      </c>
      <c r="I5" s="7" t="n">
        <v>0.28</v>
      </c>
      <c r="J5" s="8" t="n">
        <v>180</v>
      </c>
      <c r="K5" s="8" t="n">
        <v>5</v>
      </c>
      <c r="L5" s="8" t="n">
        <v>4</v>
      </c>
      <c r="M5" s="8" t="n">
        <v>5</v>
      </c>
      <c r="N5" s="8" t="n">
        <v>3</v>
      </c>
      <c r="O5" s="8" t="n">
        <v>4</v>
      </c>
      <c r="P5" s="8" t="s">
        <v>181</v>
      </c>
      <c r="Q5" s="5" t="n">
        <f aca="false">K5*6+L5*5+M5*3+N5*3+O5*3</f>
        <v>86</v>
      </c>
      <c r="R5" s="5" t="str">
        <f aca="false">IF(P5="Sim","Sem fit",IF(Q5&gt;=75,"Fit forte",IF(Q5&gt;=55,"Fit condicionado","Sem fit")))</f>
        <v>Fit forte</v>
      </c>
      <c r="S5" s="10" t="n">
        <f aca="false">F5*I5*H5*G5</f>
        <v>67200</v>
      </c>
      <c r="T5" s="8" t="s">
        <v>182</v>
      </c>
      <c r="U5" s="8" t="s">
        <v>183</v>
      </c>
      <c r="V5" s="8" t="s">
        <v>184</v>
      </c>
      <c r="W5" s="8" t="s">
        <v>185</v>
      </c>
      <c r="X5" s="8" t="s">
        <v>186</v>
      </c>
      <c r="Y5" s="8" t="s">
        <v>187</v>
      </c>
      <c r="Z5" s="8" t="s">
        <v>188</v>
      </c>
      <c r="AA5" s="8" t="s">
        <v>189</v>
      </c>
      <c r="AB5" s="8" t="s">
        <v>190</v>
      </c>
      <c r="AC5" s="8" t="s">
        <v>191</v>
      </c>
      <c r="AD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9"/>
      <c r="H6" s="7"/>
      <c r="I6" s="7"/>
      <c r="J6" s="8"/>
      <c r="K6" s="8"/>
      <c r="L6" s="8"/>
      <c r="M6" s="8"/>
      <c r="N6" s="8"/>
      <c r="O6" s="8"/>
      <c r="P6" s="8"/>
      <c r="Q6" s="5" t="str">
        <f aca="false">IF(C6="","",K6*6+L6*5+M6*3+N6*3+O6*3)</f>
        <v/>
      </c>
      <c r="R6" s="5" t="str">
        <f aca="false">IF(C6="","",IF(P6="Sim","Sem fit",IF(Q6&gt;=75,"Fit forte",IF(Q6&gt;=55,"Fit condicionado","Sem fit"))))</f>
        <v/>
      </c>
      <c r="S6" s="10" t="str">
        <f aca="false">IF(C6="","",F6*I6*H6*G6)</f>
        <v/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9"/>
      <c r="H7" s="7"/>
      <c r="I7" s="7"/>
      <c r="J7" s="8"/>
      <c r="K7" s="8"/>
      <c r="L7" s="8"/>
      <c r="M7" s="8"/>
      <c r="N7" s="8"/>
      <c r="O7" s="8"/>
      <c r="P7" s="8"/>
      <c r="Q7" s="5" t="str">
        <f aca="false">IF(C7="","",K7*6+L7*5+M7*3+N7*3+O7*3)</f>
        <v/>
      </c>
      <c r="R7" s="5" t="str">
        <f aca="false">IF(C7="","",IF(P7="Sim","Sem fit",IF(Q7&gt;=75,"Fit forte",IF(Q7&gt;=55,"Fit condicionado","Sem fit"))))</f>
        <v/>
      </c>
      <c r="S7" s="10" t="str">
        <f aca="false">IF(C7="","",F7*I7*H7*G7)</f>
        <v/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9"/>
      <c r="H8" s="7"/>
      <c r="I8" s="7"/>
      <c r="J8" s="8"/>
      <c r="K8" s="8"/>
      <c r="L8" s="8"/>
      <c r="M8" s="8"/>
      <c r="N8" s="8"/>
      <c r="O8" s="8"/>
      <c r="P8" s="8"/>
      <c r="Q8" s="5" t="str">
        <f aca="false">IF(C8="","",K8*6+L8*5+M8*3+N8*3+O8*3)</f>
        <v/>
      </c>
      <c r="R8" s="5" t="str">
        <f aca="false">IF(C8="","",IF(P8="Sim","Sem fit",IF(Q8&gt;=75,"Fit forte",IF(Q8&gt;=55,"Fit condicionado","Sem fit"))))</f>
        <v/>
      </c>
      <c r="S8" s="10" t="str">
        <f aca="false">IF(C8="","",F8*I8*H8*G8)</f>
        <v/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9"/>
      <c r="H9" s="7"/>
      <c r="I9" s="7"/>
      <c r="J9" s="8"/>
      <c r="K9" s="8"/>
      <c r="L9" s="8"/>
      <c r="M9" s="8"/>
      <c r="N9" s="8"/>
      <c r="O9" s="8"/>
      <c r="P9" s="8"/>
      <c r="Q9" s="5" t="str">
        <f aca="false">IF(C9="","",K9*6+L9*5+M9*3+N9*3+O9*3)</f>
        <v/>
      </c>
      <c r="R9" s="5" t="str">
        <f aca="false">IF(C9="","",IF(P9="Sim","Sem fit",IF(Q9&gt;=75,"Fit forte",IF(Q9&gt;=55,"Fit condicionado","Sem fit"))))</f>
        <v/>
      </c>
      <c r="S9" s="10" t="str">
        <f aca="false">IF(C9="","",F9*I9*H9*G9)</f>
        <v/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9"/>
      <c r="H10" s="7"/>
      <c r="I10" s="7"/>
      <c r="J10" s="8"/>
      <c r="K10" s="8"/>
      <c r="L10" s="8"/>
      <c r="M10" s="8"/>
      <c r="N10" s="8"/>
      <c r="O10" s="8"/>
      <c r="P10" s="8"/>
      <c r="Q10" s="5" t="str">
        <f aca="false">IF(C10="","",K10*6+L10*5+M10*3+N10*3+O10*3)</f>
        <v/>
      </c>
      <c r="R10" s="5" t="str">
        <f aca="false">IF(C10="","",IF(P10="Sim","Sem fit",IF(Q10&gt;=75,"Fit forte",IF(Q10&gt;=55,"Fit condicionado","Sem fit"))))</f>
        <v/>
      </c>
      <c r="S10" s="10" t="str">
        <f aca="false">IF(C10="","",F10*I10*H10*G10)</f>
        <v/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9"/>
      <c r="H11" s="7"/>
      <c r="I11" s="7"/>
      <c r="J11" s="8"/>
      <c r="K11" s="8"/>
      <c r="L11" s="8"/>
      <c r="M11" s="8"/>
      <c r="N11" s="8"/>
      <c r="O11" s="8"/>
      <c r="P11" s="8"/>
      <c r="Q11" s="5" t="str">
        <f aca="false">IF(C11="","",K11*6+L11*5+M11*3+N11*3+O11*3)</f>
        <v/>
      </c>
      <c r="R11" s="5" t="str">
        <f aca="false">IF(C11="","",IF(P11="Sim","Sem fit",IF(Q11&gt;=75,"Fit forte",IF(Q11&gt;=55,"Fit condicionado","Sem fit"))))</f>
        <v/>
      </c>
      <c r="S11" s="10" t="str">
        <f aca="false">IF(C11="","",F11*I11*H11*G11)</f>
        <v/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9"/>
      <c r="H12" s="7"/>
      <c r="I12" s="7"/>
      <c r="J12" s="8"/>
      <c r="K12" s="8"/>
      <c r="L12" s="8"/>
      <c r="M12" s="8"/>
      <c r="N12" s="8"/>
      <c r="O12" s="8"/>
      <c r="P12" s="8"/>
      <c r="Q12" s="5" t="str">
        <f aca="false">IF(C12="","",K12*6+L12*5+M12*3+N12*3+O12*3)</f>
        <v/>
      </c>
      <c r="R12" s="5" t="str">
        <f aca="false">IF(C12="","",IF(P12="Sim","Sem fit",IF(Q12&gt;=75,"Fit forte",IF(Q12&gt;=55,"Fit condicionado","Sem fit"))))</f>
        <v/>
      </c>
      <c r="S12" s="10" t="str">
        <f aca="false">IF(C12="","",F12*I12*H12*G12)</f>
        <v/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9"/>
      <c r="H13" s="7"/>
      <c r="I13" s="7"/>
      <c r="J13" s="8"/>
      <c r="K13" s="8"/>
      <c r="L13" s="8"/>
      <c r="M13" s="8"/>
      <c r="N13" s="8"/>
      <c r="O13" s="8"/>
      <c r="P13" s="8"/>
      <c r="Q13" s="5" t="str">
        <f aca="false">IF(C13="","",K13*6+L13*5+M13*3+N13*3+O13*3)</f>
        <v/>
      </c>
      <c r="R13" s="5" t="str">
        <f aca="false">IF(C13="","",IF(P13="Sim","Sem fit",IF(Q13&gt;=75,"Fit forte",IF(Q13&gt;=55,"Fit condicionado","Sem fit"))))</f>
        <v/>
      </c>
      <c r="S13" s="10" t="str">
        <f aca="false">IF(C13="","",F13*I13*H13*G13)</f>
        <v/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9"/>
      <c r="H14" s="7"/>
      <c r="I14" s="7"/>
      <c r="J14" s="8"/>
      <c r="K14" s="8"/>
      <c r="L14" s="8"/>
      <c r="M14" s="8"/>
      <c r="N14" s="8"/>
      <c r="O14" s="8"/>
      <c r="P14" s="8"/>
      <c r="Q14" s="5" t="str">
        <f aca="false">IF(C14="","",K14*6+L14*5+M14*3+N14*3+O14*3)</f>
        <v/>
      </c>
      <c r="R14" s="5" t="str">
        <f aca="false">IF(C14="","",IF(P14="Sim","Sem fit",IF(Q14&gt;=75,"Fit forte",IF(Q14&gt;=55,"Fit condicionado","Sem fit"))))</f>
        <v/>
      </c>
      <c r="S14" s="10" t="str">
        <f aca="false">IF(C14="","",F14*I14*H14*G14)</f>
        <v/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9"/>
      <c r="H15" s="7"/>
      <c r="I15" s="7"/>
      <c r="J15" s="8"/>
      <c r="K15" s="8"/>
      <c r="L15" s="8"/>
      <c r="M15" s="8"/>
      <c r="N15" s="8"/>
      <c r="O15" s="8"/>
      <c r="P15" s="8"/>
      <c r="Q15" s="5" t="str">
        <f aca="false">IF(C15="","",K15*6+L15*5+M15*3+N15*3+O15*3)</f>
        <v/>
      </c>
      <c r="R15" s="5" t="str">
        <f aca="false">IF(C15="","",IF(P15="Sim","Sem fit",IF(Q15&gt;=75,"Fit forte",IF(Q15&gt;=55,"Fit condicionado","Sem fit"))))</f>
        <v/>
      </c>
      <c r="S15" s="10" t="str">
        <f aca="false">IF(C15="","",F15*I15*H15*G15)</f>
        <v/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9"/>
      <c r="H16" s="7"/>
      <c r="I16" s="7"/>
      <c r="J16" s="8"/>
      <c r="K16" s="8"/>
      <c r="L16" s="8"/>
      <c r="M16" s="8"/>
      <c r="N16" s="8"/>
      <c r="O16" s="8"/>
      <c r="P16" s="8"/>
      <c r="Q16" s="5" t="str">
        <f aca="false">IF(C16="","",K16*6+L16*5+M16*3+N16*3+O16*3)</f>
        <v/>
      </c>
      <c r="R16" s="5" t="str">
        <f aca="false">IF(C16="","",IF(P16="Sim","Sem fit",IF(Q16&gt;=75,"Fit forte",IF(Q16&gt;=55,"Fit condicionado","Sem fit"))))</f>
        <v/>
      </c>
      <c r="S16" s="10" t="str">
        <f aca="false">IF(C16="","",F16*I16*H16*G16)</f>
        <v/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9"/>
      <c r="H17" s="7"/>
      <c r="I17" s="7"/>
      <c r="J17" s="8"/>
      <c r="K17" s="8"/>
      <c r="L17" s="8"/>
      <c r="M17" s="8"/>
      <c r="N17" s="8"/>
      <c r="O17" s="8"/>
      <c r="P17" s="8"/>
      <c r="Q17" s="5" t="str">
        <f aca="false">IF(C17="","",K17*6+L17*5+M17*3+N17*3+O17*3)</f>
        <v/>
      </c>
      <c r="R17" s="5" t="str">
        <f aca="false">IF(C17="","",IF(P17="Sim","Sem fit",IF(Q17&gt;=75,"Fit forte",IF(Q17&gt;=55,"Fit condicionado","Sem fit"))))</f>
        <v/>
      </c>
      <c r="S17" s="10" t="str">
        <f aca="false">IF(C17="","",F17*I17*H17*G17)</f>
        <v/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9"/>
      <c r="H18" s="7"/>
      <c r="I18" s="7"/>
      <c r="J18" s="8"/>
      <c r="K18" s="8"/>
      <c r="L18" s="8"/>
      <c r="M18" s="8"/>
      <c r="N18" s="8"/>
      <c r="O18" s="8"/>
      <c r="P18" s="8"/>
      <c r="Q18" s="5" t="str">
        <f aca="false">IF(C18="","",K18*6+L18*5+M18*3+N18*3+O18*3)</f>
        <v/>
      </c>
      <c r="R18" s="5" t="str">
        <f aca="false">IF(C18="","",IF(P18="Sim","Sem fit",IF(Q18&gt;=75,"Fit forte",IF(Q18&gt;=55,"Fit condicionado","Sem fit"))))</f>
        <v/>
      </c>
      <c r="S18" s="10" t="str">
        <f aca="false">IF(C18="","",F18*I18*H18*G18)</f>
        <v/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9"/>
      <c r="H19" s="7"/>
      <c r="I19" s="7"/>
      <c r="J19" s="8"/>
      <c r="K19" s="8"/>
      <c r="L19" s="8"/>
      <c r="M19" s="8"/>
      <c r="N19" s="8"/>
      <c r="O19" s="8"/>
      <c r="P19" s="8"/>
      <c r="Q19" s="5" t="str">
        <f aca="false">IF(C19="","",K19*6+L19*5+M19*3+N19*3+O19*3)</f>
        <v/>
      </c>
      <c r="R19" s="5" t="str">
        <f aca="false">IF(C19="","",IF(P19="Sim","Sem fit",IF(Q19&gt;=75,"Fit forte",IF(Q19&gt;=55,"Fit condicionado","Sem fit"))))</f>
        <v/>
      </c>
      <c r="S19" s="10" t="str">
        <f aca="false">IF(C19="","",F19*I19*H19*G19)</f>
        <v/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9"/>
      <c r="H20" s="7"/>
      <c r="I20" s="7"/>
      <c r="J20" s="8"/>
      <c r="K20" s="8"/>
      <c r="L20" s="8"/>
      <c r="M20" s="8"/>
      <c r="N20" s="8"/>
      <c r="O20" s="8"/>
      <c r="P20" s="8"/>
      <c r="Q20" s="5" t="str">
        <f aca="false">IF(C20="","",K20*6+L20*5+M20*3+N20*3+O20*3)</f>
        <v/>
      </c>
      <c r="R20" s="5" t="str">
        <f aca="false">IF(C20="","",IF(P20="Sim","Sem fit",IF(Q20&gt;=75,"Fit forte",IF(Q20&gt;=55,"Fit condicionado","Sem fit"))))</f>
        <v/>
      </c>
      <c r="S20" s="10" t="str">
        <f aca="false">IF(C20="","",F20*I20*H20*G20)</f>
        <v/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9"/>
      <c r="H21" s="7"/>
      <c r="I21" s="7"/>
      <c r="J21" s="8"/>
      <c r="K21" s="8"/>
      <c r="L21" s="8"/>
      <c r="M21" s="8"/>
      <c r="N21" s="8"/>
      <c r="O21" s="8"/>
      <c r="P21" s="8"/>
      <c r="Q21" s="5" t="str">
        <f aca="false">IF(C21="","",K21*6+L21*5+M21*3+N21*3+O21*3)</f>
        <v/>
      </c>
      <c r="R21" s="5" t="str">
        <f aca="false">IF(C21="","",IF(P21="Sim","Sem fit",IF(Q21&gt;=75,"Fit forte",IF(Q21&gt;=55,"Fit condicionado","Sem fit"))))</f>
        <v/>
      </c>
      <c r="S21" s="10" t="str">
        <f aca="false">IF(C21="","",F21*I21*H21*G21)</f>
        <v/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9"/>
      <c r="H22" s="7"/>
      <c r="I22" s="7"/>
      <c r="J22" s="8"/>
      <c r="K22" s="8"/>
      <c r="L22" s="8"/>
      <c r="M22" s="8"/>
      <c r="N22" s="8"/>
      <c r="O22" s="8"/>
      <c r="P22" s="8"/>
      <c r="Q22" s="5" t="str">
        <f aca="false">IF(C22="","",K22*6+L22*5+M22*3+N22*3+O22*3)</f>
        <v/>
      </c>
      <c r="R22" s="5" t="str">
        <f aca="false">IF(C22="","",IF(P22="Sim","Sem fit",IF(Q22&gt;=75,"Fit forte",IF(Q22&gt;=55,"Fit condicionado","Sem fit"))))</f>
        <v/>
      </c>
      <c r="S22" s="10" t="str">
        <f aca="false">IF(C22="","",F22*I22*H22*G22)</f>
        <v/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9"/>
      <c r="H23" s="7"/>
      <c r="I23" s="7"/>
      <c r="J23" s="8"/>
      <c r="K23" s="8"/>
      <c r="L23" s="8"/>
      <c r="M23" s="8"/>
      <c r="N23" s="8"/>
      <c r="O23" s="8"/>
      <c r="P23" s="8"/>
      <c r="Q23" s="5" t="str">
        <f aca="false">IF(C23="","",K23*6+L23*5+M23*3+N23*3+O23*3)</f>
        <v/>
      </c>
      <c r="R23" s="5" t="str">
        <f aca="false">IF(C23="","",IF(P23="Sim","Sem fit",IF(Q23&gt;=75,"Fit forte",IF(Q23&gt;=55,"Fit condicionado","Sem fit"))))</f>
        <v/>
      </c>
      <c r="S23" s="10" t="str">
        <f aca="false">IF(C23="","",F23*I23*H23*G23)</f>
        <v/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9"/>
      <c r="H24" s="7"/>
      <c r="I24" s="7"/>
      <c r="J24" s="8"/>
      <c r="K24" s="8"/>
      <c r="L24" s="8"/>
      <c r="M24" s="8"/>
      <c r="N24" s="8"/>
      <c r="O24" s="8"/>
      <c r="P24" s="8"/>
      <c r="Q24" s="5" t="str">
        <f aca="false">IF(C24="","",K24*6+L24*5+M24*3+N24*3+O24*3)</f>
        <v/>
      </c>
      <c r="R24" s="5" t="str">
        <f aca="false">IF(C24="","",IF(P24="Sim","Sem fit",IF(Q24&gt;=75,"Fit forte",IF(Q24&gt;=55,"Fit condicionado","Sem fit"))))</f>
        <v/>
      </c>
      <c r="S24" s="10" t="str">
        <f aca="false">IF(C24="","",F24*I24*H24*G24)</f>
        <v/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9"/>
      <c r="H25" s="7"/>
      <c r="I25" s="7"/>
      <c r="J25" s="8"/>
      <c r="K25" s="8"/>
      <c r="L25" s="8"/>
      <c r="M25" s="8"/>
      <c r="N25" s="8"/>
      <c r="O25" s="8"/>
      <c r="P25" s="8"/>
      <c r="Q25" s="5" t="str">
        <f aca="false">IF(C25="","",K25*6+L25*5+M25*3+N25*3+O25*3)</f>
        <v/>
      </c>
      <c r="R25" s="5" t="str">
        <f aca="false">IF(C25="","",IF(P25="Sim","Sem fit",IF(Q25&gt;=75,"Fit forte",IF(Q25&gt;=55,"Fit condicionado","Sem fit"))))</f>
        <v/>
      </c>
      <c r="S25" s="10" t="str">
        <f aca="false">IF(C25="","",F25*I25*H25*G25)</f>
        <v/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9"/>
      <c r="H26" s="7"/>
      <c r="I26" s="7"/>
      <c r="J26" s="8"/>
      <c r="K26" s="8"/>
      <c r="L26" s="8"/>
      <c r="M26" s="8"/>
      <c r="N26" s="8"/>
      <c r="O26" s="8"/>
      <c r="P26" s="8"/>
      <c r="Q26" s="5" t="str">
        <f aca="false">IF(C26="","",K26*6+L26*5+M26*3+N26*3+O26*3)</f>
        <v/>
      </c>
      <c r="R26" s="5" t="str">
        <f aca="false">IF(C26="","",IF(P26="Sim","Sem fit",IF(Q26&gt;=75,"Fit forte",IF(Q26&gt;=55,"Fit condicionado","Sem fit"))))</f>
        <v/>
      </c>
      <c r="S26" s="10" t="str">
        <f aca="false">IF(C26="","",F26*I26*H26*G26)</f>
        <v/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9"/>
      <c r="H27" s="7"/>
      <c r="I27" s="7"/>
      <c r="J27" s="8"/>
      <c r="K27" s="8"/>
      <c r="L27" s="8"/>
      <c r="M27" s="8"/>
      <c r="N27" s="8"/>
      <c r="O27" s="8"/>
      <c r="P27" s="8"/>
      <c r="Q27" s="5" t="str">
        <f aca="false">IF(C27="","",K27*6+L27*5+M27*3+N27*3+O27*3)</f>
        <v/>
      </c>
      <c r="R27" s="5" t="str">
        <f aca="false">IF(C27="","",IF(P27="Sim","Sem fit",IF(Q27&gt;=75,"Fit forte",IF(Q27&gt;=55,"Fit condicionado","Sem fit"))))</f>
        <v/>
      </c>
      <c r="S27" s="10" t="str">
        <f aca="false">IF(C27="","",F27*I27*H27*G27)</f>
        <v/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9"/>
      <c r="H28" s="7"/>
      <c r="I28" s="7"/>
      <c r="J28" s="8"/>
      <c r="K28" s="8"/>
      <c r="L28" s="8"/>
      <c r="M28" s="8"/>
      <c r="N28" s="8"/>
      <c r="O28" s="8"/>
      <c r="P28" s="8"/>
      <c r="Q28" s="5" t="str">
        <f aca="false">IF(C28="","",K28*6+L28*5+M28*3+N28*3+O28*3)</f>
        <v/>
      </c>
      <c r="R28" s="5" t="str">
        <f aca="false">IF(C28="","",IF(P28="Sim","Sem fit",IF(Q28&gt;=75,"Fit forte",IF(Q28&gt;=55,"Fit condicionado","Sem fit"))))</f>
        <v/>
      </c>
      <c r="S28" s="10" t="str">
        <f aca="false">IF(C28="","",F28*I28*H28*G28)</f>
        <v/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9"/>
      <c r="H29" s="7"/>
      <c r="I29" s="7"/>
      <c r="J29" s="8"/>
      <c r="K29" s="8"/>
      <c r="L29" s="8"/>
      <c r="M29" s="8"/>
      <c r="N29" s="8"/>
      <c r="O29" s="8"/>
      <c r="P29" s="8"/>
      <c r="Q29" s="5" t="str">
        <f aca="false">IF(C29="","",K29*6+L29*5+M29*3+N29*3+O29*3)</f>
        <v/>
      </c>
      <c r="R29" s="5" t="str">
        <f aca="false">IF(C29="","",IF(P29="Sim","Sem fit",IF(Q29&gt;=75,"Fit forte",IF(Q29&gt;=55,"Fit condicionado","Sem fit"))))</f>
        <v/>
      </c>
      <c r="S29" s="10" t="str">
        <f aca="false">IF(C29="","",F29*I29*H29*G29)</f>
        <v/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9"/>
      <c r="H30" s="7"/>
      <c r="I30" s="7"/>
      <c r="J30" s="8"/>
      <c r="K30" s="8"/>
      <c r="L30" s="8"/>
      <c r="M30" s="8"/>
      <c r="N30" s="8"/>
      <c r="O30" s="8"/>
      <c r="P30" s="8"/>
      <c r="Q30" s="5" t="str">
        <f aca="false">IF(C30="","",K30*6+L30*5+M30*3+N30*3+O30*3)</f>
        <v/>
      </c>
      <c r="R30" s="5" t="str">
        <f aca="false">IF(C30="","",IF(P30="Sim","Sem fit",IF(Q30&gt;=75,"Fit forte",IF(Q30&gt;=55,"Fit condicionado","Sem fit"))))</f>
        <v/>
      </c>
      <c r="S30" s="10" t="str">
        <f aca="false">IF(C30="","",F30*I30*H30*G30)</f>
        <v/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9"/>
      <c r="H31" s="7"/>
      <c r="I31" s="7"/>
      <c r="J31" s="8"/>
      <c r="K31" s="8"/>
      <c r="L31" s="8"/>
      <c r="M31" s="8"/>
      <c r="N31" s="8"/>
      <c r="O31" s="8"/>
      <c r="P31" s="8"/>
      <c r="Q31" s="5" t="str">
        <f aca="false">IF(C31="","",K31*6+L31*5+M31*3+N31*3+O31*3)</f>
        <v/>
      </c>
      <c r="R31" s="5" t="str">
        <f aca="false">IF(C31="","",IF(P31="Sim","Sem fit",IF(Q31&gt;=75,"Fit forte",IF(Q31&gt;=55,"Fit condicionado","Sem fit"))))</f>
        <v/>
      </c>
      <c r="S31" s="10" t="str">
        <f aca="false">IF(C31="","",F31*I31*H31*G31)</f>
        <v/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9"/>
      <c r="H32" s="7"/>
      <c r="I32" s="7"/>
      <c r="J32" s="8"/>
      <c r="K32" s="8"/>
      <c r="L32" s="8"/>
      <c r="M32" s="8"/>
      <c r="N32" s="8"/>
      <c r="O32" s="8"/>
      <c r="P32" s="8"/>
      <c r="Q32" s="5" t="str">
        <f aca="false">IF(C32="","",K32*6+L32*5+M32*3+N32*3+O32*3)</f>
        <v/>
      </c>
      <c r="R32" s="5" t="str">
        <f aca="false">IF(C32="","",IF(P32="Sim","Sem fit",IF(Q32&gt;=75,"Fit forte",IF(Q32&gt;=55,"Fit condicionado","Sem fit"))))</f>
        <v/>
      </c>
      <c r="S32" s="10" t="str">
        <f aca="false">IF(C32="","",F32*I32*H32*G32)</f>
        <v/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9"/>
      <c r="H33" s="7"/>
      <c r="I33" s="7"/>
      <c r="J33" s="8"/>
      <c r="K33" s="8"/>
      <c r="L33" s="8"/>
      <c r="M33" s="8"/>
      <c r="N33" s="8"/>
      <c r="O33" s="8"/>
      <c r="P33" s="8"/>
      <c r="Q33" s="5" t="str">
        <f aca="false">IF(C33="","",K33*6+L33*5+M33*3+N33*3+O33*3)</f>
        <v/>
      </c>
      <c r="R33" s="5" t="str">
        <f aca="false">IF(C33="","",IF(P33="Sim","Sem fit",IF(Q33&gt;=75,"Fit forte",IF(Q33&gt;=55,"Fit condicionado","Sem fit"))))</f>
        <v/>
      </c>
      <c r="S33" s="10" t="str">
        <f aca="false">IF(C33="","",F33*I33*H33*G33)</f>
        <v/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9"/>
      <c r="H34" s="7"/>
      <c r="I34" s="7"/>
      <c r="J34" s="8"/>
      <c r="K34" s="8"/>
      <c r="L34" s="8"/>
      <c r="M34" s="8"/>
      <c r="N34" s="8"/>
      <c r="O34" s="8"/>
      <c r="P34" s="8"/>
      <c r="Q34" s="5" t="str">
        <f aca="false">IF(C34="","",K34*6+L34*5+M34*3+N34*3+O34*3)</f>
        <v/>
      </c>
      <c r="R34" s="5" t="str">
        <f aca="false">IF(C34="","",IF(P34="Sim","Sem fit",IF(Q34&gt;=75,"Fit forte",IF(Q34&gt;=55,"Fit condicionado","Sem fit"))))</f>
        <v/>
      </c>
      <c r="S34" s="10" t="str">
        <f aca="false">IF(C34="","",F34*I34*H34*G34)</f>
        <v/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9"/>
      <c r="H35" s="7"/>
      <c r="I35" s="7"/>
      <c r="J35" s="8"/>
      <c r="K35" s="8"/>
      <c r="L35" s="8"/>
      <c r="M35" s="8"/>
      <c r="N35" s="8"/>
      <c r="O35" s="8"/>
      <c r="P35" s="8"/>
      <c r="Q35" s="5" t="str">
        <f aca="false">IF(C35="","",K35*6+L35*5+M35*3+N35*3+O35*3)</f>
        <v/>
      </c>
      <c r="R35" s="5" t="str">
        <f aca="false">IF(C35="","",IF(P35="Sim","Sem fit",IF(Q35&gt;=75,"Fit forte",IF(Q35&gt;=55,"Fit condicionado","Sem fit"))))</f>
        <v/>
      </c>
      <c r="S35" s="10" t="str">
        <f aca="false">IF(C35="","",F35*I35*H35*G35)</f>
        <v/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9"/>
      <c r="H36" s="7"/>
      <c r="I36" s="7"/>
      <c r="J36" s="8"/>
      <c r="K36" s="8"/>
      <c r="L36" s="8"/>
      <c r="M36" s="8"/>
      <c r="N36" s="8"/>
      <c r="O36" s="8"/>
      <c r="P36" s="8"/>
      <c r="Q36" s="5" t="str">
        <f aca="false">IF(C36="","",K36*6+L36*5+M36*3+N36*3+O36*3)</f>
        <v/>
      </c>
      <c r="R36" s="5" t="str">
        <f aca="false">IF(C36="","",IF(P36="Sim","Sem fit",IF(Q36&gt;=75,"Fit forte",IF(Q36&gt;=55,"Fit condicionado","Sem fit"))))</f>
        <v/>
      </c>
      <c r="S36" s="10" t="str">
        <f aca="false">IF(C36="","",F36*I36*H36*G36)</f>
        <v/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9"/>
      <c r="H37" s="7"/>
      <c r="I37" s="7"/>
      <c r="J37" s="8"/>
      <c r="K37" s="8"/>
      <c r="L37" s="8"/>
      <c r="M37" s="8"/>
      <c r="N37" s="8"/>
      <c r="O37" s="8"/>
      <c r="P37" s="8"/>
      <c r="Q37" s="5" t="str">
        <f aca="false">IF(C37="","",K37*6+L37*5+M37*3+N37*3+O37*3)</f>
        <v/>
      </c>
      <c r="R37" s="5" t="str">
        <f aca="false">IF(C37="","",IF(P37="Sim","Sem fit",IF(Q37&gt;=75,"Fit forte",IF(Q37&gt;=55,"Fit condicionado","Sem fit"))))</f>
        <v/>
      </c>
      <c r="S37" s="10" t="str">
        <f aca="false">IF(C37="","",F37*I37*H37*G37)</f>
        <v/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9"/>
      <c r="H38" s="7"/>
      <c r="I38" s="7"/>
      <c r="J38" s="8"/>
      <c r="K38" s="8"/>
      <c r="L38" s="8"/>
      <c r="M38" s="8"/>
      <c r="N38" s="8"/>
      <c r="O38" s="8"/>
      <c r="P38" s="8"/>
      <c r="Q38" s="5" t="str">
        <f aca="false">IF(C38="","",K38*6+L38*5+M38*3+N38*3+O38*3)</f>
        <v/>
      </c>
      <c r="R38" s="5" t="str">
        <f aca="false">IF(C38="","",IF(P38="Sim","Sem fit",IF(Q38&gt;=75,"Fit forte",IF(Q38&gt;=55,"Fit condicionado","Sem fit"))))</f>
        <v/>
      </c>
      <c r="S38" s="10" t="str">
        <f aca="false">IF(C38="","",F38*I38*H38*G38)</f>
        <v/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9"/>
      <c r="H39" s="7"/>
      <c r="I39" s="7"/>
      <c r="J39" s="8"/>
      <c r="K39" s="8"/>
      <c r="L39" s="8"/>
      <c r="M39" s="8"/>
      <c r="N39" s="8"/>
      <c r="O39" s="8"/>
      <c r="P39" s="8"/>
      <c r="Q39" s="5" t="str">
        <f aca="false">IF(C39="","",K39*6+L39*5+M39*3+N39*3+O39*3)</f>
        <v/>
      </c>
      <c r="R39" s="5" t="str">
        <f aca="false">IF(C39="","",IF(P39="Sim","Sem fit",IF(Q39&gt;=75,"Fit forte",IF(Q39&gt;=55,"Fit condicionado","Sem fit"))))</f>
        <v/>
      </c>
      <c r="S39" s="10" t="str">
        <f aca="false">IF(C39="","",F39*I39*H39*G39)</f>
        <v/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9"/>
      <c r="H40" s="7"/>
      <c r="I40" s="7"/>
      <c r="J40" s="8"/>
      <c r="K40" s="8"/>
      <c r="L40" s="8"/>
      <c r="M40" s="8"/>
      <c r="N40" s="8"/>
      <c r="O40" s="8"/>
      <c r="P40" s="8"/>
      <c r="Q40" s="5" t="str">
        <f aca="false">IF(C40="","",K40*6+L40*5+M40*3+N40*3+O40*3)</f>
        <v/>
      </c>
      <c r="R40" s="5" t="str">
        <f aca="false">IF(C40="","",IF(P40="Sim","Sem fit",IF(Q40&gt;=75,"Fit forte",IF(Q40&gt;=55,"Fit condicionado","Sem fit"))))</f>
        <v/>
      </c>
      <c r="S40" s="10" t="str">
        <f aca="false">IF(C40="","",F40*I40*H40*G40)</f>
        <v/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9"/>
      <c r="H41" s="7"/>
      <c r="I41" s="7"/>
      <c r="J41" s="8"/>
      <c r="K41" s="8"/>
      <c r="L41" s="8"/>
      <c r="M41" s="8"/>
      <c r="N41" s="8"/>
      <c r="O41" s="8"/>
      <c r="P41" s="8"/>
      <c r="Q41" s="5" t="str">
        <f aca="false">IF(C41="","",K41*6+L41*5+M41*3+N41*3+O41*3)</f>
        <v/>
      </c>
      <c r="R41" s="5" t="str">
        <f aca="false">IF(C41="","",IF(P41="Sim","Sem fit",IF(Q41&gt;=75,"Fit forte",IF(Q41&gt;=55,"Fit condicionado","Sem fit"))))</f>
        <v/>
      </c>
      <c r="S41" s="10" t="str">
        <f aca="false">IF(C41="","",F41*I41*H41*G41)</f>
        <v/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9"/>
      <c r="H42" s="7"/>
      <c r="I42" s="7"/>
      <c r="J42" s="8"/>
      <c r="K42" s="8"/>
      <c r="L42" s="8"/>
      <c r="M42" s="8"/>
      <c r="N42" s="8"/>
      <c r="O42" s="8"/>
      <c r="P42" s="8"/>
      <c r="Q42" s="5" t="str">
        <f aca="false">IF(C42="","",K42*6+L42*5+M42*3+N42*3+O42*3)</f>
        <v/>
      </c>
      <c r="R42" s="5" t="str">
        <f aca="false">IF(C42="","",IF(P42="Sim","Sem fit",IF(Q42&gt;=75,"Fit forte",IF(Q42&gt;=55,"Fit condicionado","Sem fit"))))</f>
        <v/>
      </c>
      <c r="S42" s="10" t="str">
        <f aca="false">IF(C42="","",F42*I42*H42*G42)</f>
        <v/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9"/>
      <c r="H43" s="7"/>
      <c r="I43" s="7"/>
      <c r="J43" s="8"/>
      <c r="K43" s="8"/>
      <c r="L43" s="8"/>
      <c r="M43" s="8"/>
      <c r="N43" s="8"/>
      <c r="O43" s="8"/>
      <c r="P43" s="8"/>
      <c r="Q43" s="5" t="str">
        <f aca="false">IF(C43="","",K43*6+L43*5+M43*3+N43*3+O43*3)</f>
        <v/>
      </c>
      <c r="R43" s="5" t="str">
        <f aca="false">IF(C43="","",IF(P43="Sim","Sem fit",IF(Q43&gt;=75,"Fit forte",IF(Q43&gt;=55,"Fit condicionado","Sem fit"))))</f>
        <v/>
      </c>
      <c r="S43" s="10" t="str">
        <f aca="false">IF(C43="","",F43*I43*H43*G43)</f>
        <v/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9"/>
      <c r="H44" s="7"/>
      <c r="I44" s="7"/>
      <c r="J44" s="8"/>
      <c r="K44" s="8"/>
      <c r="L44" s="8"/>
      <c r="M44" s="8"/>
      <c r="N44" s="8"/>
      <c r="O44" s="8"/>
      <c r="P44" s="8"/>
      <c r="Q44" s="5" t="str">
        <f aca="false">IF(C44="","",K44*6+L44*5+M44*3+N44*3+O44*3)</f>
        <v/>
      </c>
      <c r="R44" s="5" t="str">
        <f aca="false">IF(C44="","",IF(P44="Sim","Sem fit",IF(Q44&gt;=75,"Fit forte",IF(Q44&gt;=55,"Fit condicionado","Sem fit"))))</f>
        <v/>
      </c>
      <c r="S44" s="10" t="str">
        <f aca="false">IF(C44="","",F44*I44*H44*G44)</f>
        <v/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9"/>
      <c r="H45" s="7"/>
      <c r="I45" s="7"/>
      <c r="J45" s="8"/>
      <c r="K45" s="8"/>
      <c r="L45" s="8"/>
      <c r="M45" s="8"/>
      <c r="N45" s="8"/>
      <c r="O45" s="8"/>
      <c r="P45" s="8"/>
      <c r="Q45" s="5" t="str">
        <f aca="false">IF(C45="","",K45*6+L45*5+M45*3+N45*3+O45*3)</f>
        <v/>
      </c>
      <c r="R45" s="5" t="str">
        <f aca="false">IF(C45="","",IF(P45="Sim","Sem fit",IF(Q45&gt;=75,"Fit forte",IF(Q45&gt;=55,"Fit condicionado","Sem fit"))))</f>
        <v/>
      </c>
      <c r="S45" s="10" t="str">
        <f aca="false">IF(C45="","",F45*I45*H45*G45)</f>
        <v/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9"/>
      <c r="H46" s="7"/>
      <c r="I46" s="7"/>
      <c r="J46" s="8"/>
      <c r="K46" s="8"/>
      <c r="L46" s="8"/>
      <c r="M46" s="8"/>
      <c r="N46" s="8"/>
      <c r="O46" s="8"/>
      <c r="P46" s="8"/>
      <c r="Q46" s="5" t="str">
        <f aca="false">IF(C46="","",K46*6+L46*5+M46*3+N46*3+O46*3)</f>
        <v/>
      </c>
      <c r="R46" s="5" t="str">
        <f aca="false">IF(C46="","",IF(P46="Sim","Sem fit",IF(Q46&gt;=75,"Fit forte",IF(Q46&gt;=55,"Fit condicionado","Sem fit"))))</f>
        <v/>
      </c>
      <c r="S46" s="10" t="str">
        <f aca="false">IF(C46="","",F46*I46*H46*G46)</f>
        <v/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9"/>
      <c r="H47" s="7"/>
      <c r="I47" s="7"/>
      <c r="J47" s="8"/>
      <c r="K47" s="8"/>
      <c r="L47" s="8"/>
      <c r="M47" s="8"/>
      <c r="N47" s="8"/>
      <c r="O47" s="8"/>
      <c r="P47" s="8"/>
      <c r="Q47" s="5" t="str">
        <f aca="false">IF(C47="","",K47*6+L47*5+M47*3+N47*3+O47*3)</f>
        <v/>
      </c>
      <c r="R47" s="5" t="str">
        <f aca="false">IF(C47="","",IF(P47="Sim","Sem fit",IF(Q47&gt;=75,"Fit forte",IF(Q47&gt;=55,"Fit condicionado","Sem fit"))))</f>
        <v/>
      </c>
      <c r="S47" s="10" t="str">
        <f aca="false">IF(C47="","",F47*I47*H47*G47)</f>
        <v/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9"/>
      <c r="H48" s="7"/>
      <c r="I48" s="7"/>
      <c r="J48" s="8"/>
      <c r="K48" s="8"/>
      <c r="L48" s="8"/>
      <c r="M48" s="8"/>
      <c r="N48" s="8"/>
      <c r="O48" s="8"/>
      <c r="P48" s="8"/>
      <c r="Q48" s="5" t="str">
        <f aca="false">IF(C48="","",K48*6+L48*5+M48*3+N48*3+O48*3)</f>
        <v/>
      </c>
      <c r="R48" s="5" t="str">
        <f aca="false">IF(C48="","",IF(P48="Sim","Sem fit",IF(Q48&gt;=75,"Fit forte",IF(Q48&gt;=55,"Fit condicionado","Sem fit"))))</f>
        <v/>
      </c>
      <c r="S48" s="10" t="str">
        <f aca="false">IF(C48="","",F48*I48*H48*G48)</f>
        <v/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9"/>
      <c r="H49" s="7"/>
      <c r="I49" s="7"/>
      <c r="J49" s="8"/>
      <c r="K49" s="8"/>
      <c r="L49" s="8"/>
      <c r="M49" s="8"/>
      <c r="N49" s="8"/>
      <c r="O49" s="8"/>
      <c r="P49" s="8"/>
      <c r="Q49" s="5" t="str">
        <f aca="false">IF(C49="","",K49*6+L49*5+M49*3+N49*3+O49*3)</f>
        <v/>
      </c>
      <c r="R49" s="5" t="str">
        <f aca="false">IF(C49="","",IF(P49="Sim","Sem fit",IF(Q49&gt;=75,"Fit forte",IF(Q49&gt;=55,"Fit condicionado","Sem fit"))))</f>
        <v/>
      </c>
      <c r="S49" s="10" t="str">
        <f aca="false">IF(C49="","",F49*I49*H49*G49)</f>
        <v/>
      </c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9"/>
      <c r="H50" s="7"/>
      <c r="I50" s="7"/>
      <c r="J50" s="8"/>
      <c r="K50" s="8"/>
      <c r="L50" s="8"/>
      <c r="M50" s="8"/>
      <c r="N50" s="8"/>
      <c r="O50" s="8"/>
      <c r="P50" s="8"/>
      <c r="Q50" s="5" t="str">
        <f aca="false">IF(C50="","",K50*6+L50*5+M50*3+N50*3+O50*3)</f>
        <v/>
      </c>
      <c r="R50" s="5" t="str">
        <f aca="false">IF(C50="","",IF(P50="Sim","Sem fit",IF(Q50&gt;=75,"Fit forte",IF(Q50&gt;=55,"Fit condicionado","Sem fit"))))</f>
        <v/>
      </c>
      <c r="S50" s="10" t="str">
        <f aca="false">IF(C50="","",F50*I50*H50*G50)</f>
        <v/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9"/>
      <c r="H51" s="7"/>
      <c r="I51" s="7"/>
      <c r="J51" s="8"/>
      <c r="K51" s="8"/>
      <c r="L51" s="8"/>
      <c r="M51" s="8"/>
      <c r="N51" s="8"/>
      <c r="O51" s="8"/>
      <c r="P51" s="8"/>
      <c r="Q51" s="5" t="str">
        <f aca="false">IF(C51="","",K51*6+L51*5+M51*3+N51*3+O51*3)</f>
        <v/>
      </c>
      <c r="R51" s="5" t="str">
        <f aca="false">IF(C51="","",IF(P51="Sim","Sem fit",IF(Q51&gt;=75,"Fit forte",IF(Q51&gt;=55,"Fit condicionado","Sem fit"))))</f>
        <v/>
      </c>
      <c r="S51" s="10" t="str">
        <f aca="false">IF(C51="","",F51*I51*H51*G51)</f>
        <v/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9"/>
      <c r="H52" s="7"/>
      <c r="I52" s="7"/>
      <c r="J52" s="8"/>
      <c r="K52" s="8"/>
      <c r="L52" s="8"/>
      <c r="M52" s="8"/>
      <c r="N52" s="8"/>
      <c r="O52" s="8"/>
      <c r="P52" s="8"/>
      <c r="Q52" s="5" t="str">
        <f aca="false">IF(C52="","",K52*6+L52*5+M52*3+N52*3+O52*3)</f>
        <v/>
      </c>
      <c r="R52" s="5" t="str">
        <f aca="false">IF(C52="","",IF(P52="Sim","Sem fit",IF(Q52&gt;=75,"Fit forte",IF(Q52&gt;=55,"Fit condicionado","Sem fit"))))</f>
        <v/>
      </c>
      <c r="S52" s="10" t="str">
        <f aca="false">IF(C52="","",F52*I52*H52*G52)</f>
        <v/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9"/>
      <c r="H53" s="7"/>
      <c r="I53" s="7"/>
      <c r="J53" s="8"/>
      <c r="K53" s="8"/>
      <c r="L53" s="8"/>
      <c r="M53" s="8"/>
      <c r="N53" s="8"/>
      <c r="O53" s="8"/>
      <c r="P53" s="8"/>
      <c r="Q53" s="5" t="str">
        <f aca="false">IF(C53="","",K53*6+L53*5+M53*3+N53*3+O53*3)</f>
        <v/>
      </c>
      <c r="R53" s="5" t="str">
        <f aca="false">IF(C53="","",IF(P53="Sim","Sem fit",IF(Q53&gt;=75,"Fit forte",IF(Q53&gt;=55,"Fit condicionado","Sem fit"))))</f>
        <v/>
      </c>
      <c r="S53" s="10" t="str">
        <f aca="false">IF(C53="","",F53*I53*H53*G53)</f>
        <v/>
      </c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9"/>
      <c r="H54" s="7"/>
      <c r="I54" s="7"/>
      <c r="J54" s="8"/>
      <c r="K54" s="8"/>
      <c r="L54" s="8"/>
      <c r="M54" s="8"/>
      <c r="N54" s="8"/>
      <c r="O54" s="8"/>
      <c r="P54" s="8"/>
      <c r="Q54" s="5" t="str">
        <f aca="false">IF(C54="","",K54*6+L54*5+M54*3+N54*3+O54*3)</f>
        <v/>
      </c>
      <c r="R54" s="5" t="str">
        <f aca="false">IF(C54="","",IF(P54="Sim","Sem fit",IF(Q54&gt;=75,"Fit forte",IF(Q54&gt;=55,"Fit condicionado","Sem fit"))))</f>
        <v/>
      </c>
      <c r="S54" s="10" t="str">
        <f aca="false">IF(C54="","",F54*I54*H54*G54)</f>
        <v/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9"/>
      <c r="H55" s="7"/>
      <c r="I55" s="7"/>
      <c r="J55" s="8"/>
      <c r="K55" s="8"/>
      <c r="L55" s="8"/>
      <c r="M55" s="8"/>
      <c r="N55" s="8"/>
      <c r="O55" s="8"/>
      <c r="P55" s="8"/>
      <c r="Q55" s="5" t="str">
        <f aca="false">IF(C55="","",K55*6+L55*5+M55*3+N55*3+O55*3)</f>
        <v/>
      </c>
      <c r="R55" s="5" t="str">
        <f aca="false">IF(C55="","",IF(P55="Sim","Sem fit",IF(Q55&gt;=75,"Fit forte",IF(Q55&gt;=55,"Fit condicionado","Sem fit"))))</f>
        <v/>
      </c>
      <c r="S55" s="10" t="str">
        <f aca="false">IF(C55="","",F55*I55*H55*G55)</f>
        <v/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9"/>
      <c r="H56" s="7"/>
      <c r="I56" s="7"/>
      <c r="J56" s="8"/>
      <c r="K56" s="8"/>
      <c r="L56" s="8"/>
      <c r="M56" s="8"/>
      <c r="N56" s="8"/>
      <c r="O56" s="8"/>
      <c r="P56" s="8"/>
      <c r="Q56" s="5" t="str">
        <f aca="false">IF(C56="","",K56*6+L56*5+M56*3+N56*3+O56*3)</f>
        <v/>
      </c>
      <c r="R56" s="5" t="str">
        <f aca="false">IF(C56="","",IF(P56="Sim","Sem fit",IF(Q56&gt;=75,"Fit forte",IF(Q56&gt;=55,"Fit condicionado","Sem fit"))))</f>
        <v/>
      </c>
      <c r="S56" s="10" t="str">
        <f aca="false">IF(C56="","",F56*I56*H56*G56)</f>
        <v/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9"/>
      <c r="H57" s="7"/>
      <c r="I57" s="7"/>
      <c r="J57" s="8"/>
      <c r="K57" s="8"/>
      <c r="L57" s="8"/>
      <c r="M57" s="8"/>
      <c r="N57" s="8"/>
      <c r="O57" s="8"/>
      <c r="P57" s="8"/>
      <c r="Q57" s="5" t="str">
        <f aca="false">IF(C57="","",K57*6+L57*5+M57*3+N57*3+O57*3)</f>
        <v/>
      </c>
      <c r="R57" s="5" t="str">
        <f aca="false">IF(C57="","",IF(P57="Sim","Sem fit",IF(Q57&gt;=75,"Fit forte",IF(Q57&gt;=55,"Fit condicionado","Sem fit"))))</f>
        <v/>
      </c>
      <c r="S57" s="10" t="str">
        <f aca="false">IF(C57="","",F57*I57*H57*G57)</f>
        <v/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9"/>
      <c r="H58" s="7"/>
      <c r="I58" s="7"/>
      <c r="J58" s="8"/>
      <c r="K58" s="8"/>
      <c r="L58" s="8"/>
      <c r="M58" s="8"/>
      <c r="N58" s="8"/>
      <c r="O58" s="8"/>
      <c r="P58" s="8"/>
      <c r="Q58" s="5" t="str">
        <f aca="false">IF(C58="","",K58*6+L58*5+M58*3+N58*3+O58*3)</f>
        <v/>
      </c>
      <c r="R58" s="5" t="str">
        <f aca="false">IF(C58="","",IF(P58="Sim","Sem fit",IF(Q58&gt;=75,"Fit forte",IF(Q58&gt;=55,"Fit condicionado","Sem fit"))))</f>
        <v/>
      </c>
      <c r="S58" s="10" t="str">
        <f aca="false">IF(C58="","",F58*I58*H58*G58)</f>
        <v/>
      </c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9"/>
      <c r="H59" s="7"/>
      <c r="I59" s="7"/>
      <c r="J59" s="8"/>
      <c r="K59" s="8"/>
      <c r="L59" s="8"/>
      <c r="M59" s="8"/>
      <c r="N59" s="8"/>
      <c r="O59" s="8"/>
      <c r="P59" s="8"/>
      <c r="Q59" s="5" t="str">
        <f aca="false">IF(C59="","",K59*6+L59*5+M59*3+N59*3+O59*3)</f>
        <v/>
      </c>
      <c r="R59" s="5" t="str">
        <f aca="false">IF(C59="","",IF(P59="Sim","Sem fit",IF(Q59&gt;=75,"Fit forte",IF(Q59&gt;=55,"Fit condicionado","Sem fit"))))</f>
        <v/>
      </c>
      <c r="S59" s="10" t="str">
        <f aca="false">IF(C59="","",F59*I59*H59*G59)</f>
        <v/>
      </c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9"/>
      <c r="H60" s="7"/>
      <c r="I60" s="7"/>
      <c r="J60" s="8"/>
      <c r="K60" s="8"/>
      <c r="L60" s="8"/>
      <c r="M60" s="8"/>
      <c r="N60" s="8"/>
      <c r="O60" s="8"/>
      <c r="P60" s="8"/>
      <c r="Q60" s="5" t="str">
        <f aca="false">IF(C60="","",K60*6+L60*5+M60*3+N60*3+O60*3)</f>
        <v/>
      </c>
      <c r="R60" s="5" t="str">
        <f aca="false">IF(C60="","",IF(P60="Sim","Sem fit",IF(Q60&gt;=75,"Fit forte",IF(Q60&gt;=55,"Fit condicionado","Sem fit"))))</f>
        <v/>
      </c>
      <c r="S60" s="10" t="str">
        <f aca="false">IF(C60="","",F60*I60*H60*G60)</f>
        <v/>
      </c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9"/>
      <c r="H61" s="7"/>
      <c r="I61" s="7"/>
      <c r="J61" s="8"/>
      <c r="K61" s="8"/>
      <c r="L61" s="8"/>
      <c r="M61" s="8"/>
      <c r="N61" s="8"/>
      <c r="O61" s="8"/>
      <c r="P61" s="8"/>
      <c r="Q61" s="5" t="str">
        <f aca="false">IF(C61="","",K61*6+L61*5+M61*3+N61*3+O61*3)</f>
        <v/>
      </c>
      <c r="R61" s="5" t="str">
        <f aca="false">IF(C61="","",IF(P61="Sim","Sem fit",IF(Q61&gt;=75,"Fit forte",IF(Q61&gt;=55,"Fit condicionado","Sem fit"))))</f>
        <v/>
      </c>
      <c r="S61" s="10" t="str">
        <f aca="false">IF(C61="","",F61*I61*H61*G61)</f>
        <v/>
      </c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9"/>
      <c r="H62" s="7"/>
      <c r="I62" s="7"/>
      <c r="J62" s="8"/>
      <c r="K62" s="8"/>
      <c r="L62" s="8"/>
      <c r="M62" s="8"/>
      <c r="N62" s="8"/>
      <c r="O62" s="8"/>
      <c r="P62" s="8"/>
      <c r="Q62" s="5" t="str">
        <f aca="false">IF(C62="","",K62*6+L62*5+M62*3+N62*3+O62*3)</f>
        <v/>
      </c>
      <c r="R62" s="5" t="str">
        <f aca="false">IF(C62="","",IF(P62="Sim","Sem fit",IF(Q62&gt;=75,"Fit forte",IF(Q62&gt;=55,"Fit condicionado","Sem fit"))))</f>
        <v/>
      </c>
      <c r="S62" s="10" t="str">
        <f aca="false">IF(C62="","",F62*I62*H62*G62)</f>
        <v/>
      </c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9"/>
      <c r="H63" s="7"/>
      <c r="I63" s="7"/>
      <c r="J63" s="8"/>
      <c r="K63" s="8"/>
      <c r="L63" s="8"/>
      <c r="M63" s="8"/>
      <c r="N63" s="8"/>
      <c r="O63" s="8"/>
      <c r="P63" s="8"/>
      <c r="Q63" s="5" t="str">
        <f aca="false">IF(C63="","",K63*6+L63*5+M63*3+N63*3+O63*3)</f>
        <v/>
      </c>
      <c r="R63" s="5" t="str">
        <f aca="false">IF(C63="","",IF(P63="Sim","Sem fit",IF(Q63&gt;=75,"Fit forte",IF(Q63&gt;=55,"Fit condicionado","Sem fit"))))</f>
        <v/>
      </c>
      <c r="S63" s="10" t="str">
        <f aca="false">IF(C63="","",F63*I63*H63*G63)</f>
        <v/>
      </c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9"/>
      <c r="H64" s="7"/>
      <c r="I64" s="7"/>
      <c r="J64" s="8"/>
      <c r="K64" s="8"/>
      <c r="L64" s="8"/>
      <c r="M64" s="8"/>
      <c r="N64" s="8"/>
      <c r="O64" s="8"/>
      <c r="P64" s="8"/>
      <c r="Q64" s="5" t="str">
        <f aca="false">IF(C64="","",K64*6+L64*5+M64*3+N64*3+O64*3)</f>
        <v/>
      </c>
      <c r="R64" s="5" t="str">
        <f aca="false">IF(C64="","",IF(P64="Sim","Sem fit",IF(Q64&gt;=75,"Fit forte",IF(Q64&gt;=55,"Fit condicionado","Sem fit"))))</f>
        <v/>
      </c>
      <c r="S64" s="10" t="str">
        <f aca="false">IF(C64="","",F64*I64*H64*G64)</f>
        <v/>
      </c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9"/>
      <c r="H65" s="7"/>
      <c r="I65" s="7"/>
      <c r="J65" s="8"/>
      <c r="K65" s="8"/>
      <c r="L65" s="8"/>
      <c r="M65" s="8"/>
      <c r="N65" s="8"/>
      <c r="O65" s="8"/>
      <c r="P65" s="8"/>
      <c r="Q65" s="5" t="str">
        <f aca="false">IF(C65="","",K65*6+L65*5+M65*3+N65*3+O65*3)</f>
        <v/>
      </c>
      <c r="R65" s="5" t="str">
        <f aca="false">IF(C65="","",IF(P65="Sim","Sem fit",IF(Q65&gt;=75,"Fit forte",IF(Q65&gt;=55,"Fit condicionado","Sem fit"))))</f>
        <v/>
      </c>
      <c r="S65" s="10" t="str">
        <f aca="false">IF(C65="","",F65*I65*H65*G65)</f>
        <v/>
      </c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9"/>
      <c r="H66" s="7"/>
      <c r="I66" s="7"/>
      <c r="J66" s="8"/>
      <c r="K66" s="8"/>
      <c r="L66" s="8"/>
      <c r="M66" s="8"/>
      <c r="N66" s="8"/>
      <c r="O66" s="8"/>
      <c r="P66" s="8"/>
      <c r="Q66" s="5" t="str">
        <f aca="false">IF(C66="","",K66*6+L66*5+M66*3+N66*3+O66*3)</f>
        <v/>
      </c>
      <c r="R66" s="5" t="str">
        <f aca="false">IF(C66="","",IF(P66="Sim","Sem fit",IF(Q66&gt;=75,"Fit forte",IF(Q66&gt;=55,"Fit condicionado","Sem fit"))))</f>
        <v/>
      </c>
      <c r="S66" s="10" t="str">
        <f aca="false">IF(C66="","",F66*I66*H66*G66)</f>
        <v/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9"/>
      <c r="H67" s="7"/>
      <c r="I67" s="7"/>
      <c r="J67" s="8"/>
      <c r="K67" s="8"/>
      <c r="L67" s="8"/>
      <c r="M67" s="8"/>
      <c r="N67" s="8"/>
      <c r="O67" s="8"/>
      <c r="P67" s="8"/>
      <c r="Q67" s="5" t="str">
        <f aca="false">IF(C67="","",K67*6+L67*5+M67*3+N67*3+O67*3)</f>
        <v/>
      </c>
      <c r="R67" s="5" t="str">
        <f aca="false">IF(C67="","",IF(P67="Sim","Sem fit",IF(Q67&gt;=75,"Fit forte",IF(Q67&gt;=55,"Fit condicionado","Sem fit"))))</f>
        <v/>
      </c>
      <c r="S67" s="10" t="str">
        <f aca="false">IF(C67="","",F67*I67*H67*G67)</f>
        <v/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9"/>
      <c r="H68" s="7"/>
      <c r="I68" s="7"/>
      <c r="J68" s="8"/>
      <c r="K68" s="8"/>
      <c r="L68" s="8"/>
      <c r="M68" s="8"/>
      <c r="N68" s="8"/>
      <c r="O68" s="8"/>
      <c r="P68" s="8"/>
      <c r="Q68" s="5" t="str">
        <f aca="false">IF(C68="","",K68*6+L68*5+M68*3+N68*3+O68*3)</f>
        <v/>
      </c>
      <c r="R68" s="5" t="str">
        <f aca="false">IF(C68="","",IF(P68="Sim","Sem fit",IF(Q68&gt;=75,"Fit forte",IF(Q68&gt;=55,"Fit condicionado","Sem fit"))))</f>
        <v/>
      </c>
      <c r="S68" s="10" t="str">
        <f aca="false">IF(C68="","",F68*I68*H68*G68)</f>
        <v/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9"/>
      <c r="H69" s="7"/>
      <c r="I69" s="7"/>
      <c r="J69" s="8"/>
      <c r="K69" s="8"/>
      <c r="L69" s="8"/>
      <c r="M69" s="8"/>
      <c r="N69" s="8"/>
      <c r="O69" s="8"/>
      <c r="P69" s="8"/>
      <c r="Q69" s="5" t="str">
        <f aca="false">IF(C69="","",K69*6+L69*5+M69*3+N69*3+O69*3)</f>
        <v/>
      </c>
      <c r="R69" s="5" t="str">
        <f aca="false">IF(C69="","",IF(P69="Sim","Sem fit",IF(Q69&gt;=75,"Fit forte",IF(Q69&gt;=55,"Fit condicionado","Sem fit"))))</f>
        <v/>
      </c>
      <c r="S69" s="10" t="str">
        <f aca="false">IF(C69="","",F69*I69*H69*G69)</f>
        <v/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9"/>
      <c r="H70" s="7"/>
      <c r="I70" s="7"/>
      <c r="J70" s="8"/>
      <c r="K70" s="8"/>
      <c r="L70" s="8"/>
      <c r="M70" s="8"/>
      <c r="N70" s="8"/>
      <c r="O70" s="8"/>
      <c r="P70" s="8"/>
      <c r="Q70" s="5" t="str">
        <f aca="false">IF(C70="","",K70*6+L70*5+M70*3+N70*3+O70*3)</f>
        <v/>
      </c>
      <c r="R70" s="5" t="str">
        <f aca="false">IF(C70="","",IF(P70="Sim","Sem fit",IF(Q70&gt;=75,"Fit forte",IF(Q70&gt;=55,"Fit condicionado","Sem fit"))))</f>
        <v/>
      </c>
      <c r="S70" s="10" t="str">
        <f aca="false">IF(C70="","",F70*I70*H70*G70)</f>
        <v/>
      </c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9"/>
      <c r="H71" s="7"/>
      <c r="I71" s="7"/>
      <c r="J71" s="8"/>
      <c r="K71" s="8"/>
      <c r="L71" s="8"/>
      <c r="M71" s="8"/>
      <c r="N71" s="8"/>
      <c r="O71" s="8"/>
      <c r="P71" s="8"/>
      <c r="Q71" s="5" t="str">
        <f aca="false">IF(C71="","",K71*6+L71*5+M71*3+N71*3+O71*3)</f>
        <v/>
      </c>
      <c r="R71" s="5" t="str">
        <f aca="false">IF(C71="","",IF(P71="Sim","Sem fit",IF(Q71&gt;=75,"Fit forte",IF(Q71&gt;=55,"Fit condicionado","Sem fit"))))</f>
        <v/>
      </c>
      <c r="S71" s="10" t="str">
        <f aca="false">IF(C71="","",F71*I71*H71*G71)</f>
        <v/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9"/>
      <c r="H72" s="7"/>
      <c r="I72" s="7"/>
      <c r="J72" s="8"/>
      <c r="K72" s="8"/>
      <c r="L72" s="8"/>
      <c r="M72" s="8"/>
      <c r="N72" s="8"/>
      <c r="O72" s="8"/>
      <c r="P72" s="8"/>
      <c r="Q72" s="5" t="str">
        <f aca="false">IF(C72="","",K72*6+L72*5+M72*3+N72*3+O72*3)</f>
        <v/>
      </c>
      <c r="R72" s="5" t="str">
        <f aca="false">IF(C72="","",IF(P72="Sim","Sem fit",IF(Q72&gt;=75,"Fit forte",IF(Q72&gt;=55,"Fit condicionado","Sem fit"))))</f>
        <v/>
      </c>
      <c r="S72" s="10" t="str">
        <f aca="false">IF(C72="","",F72*I72*H72*G72)</f>
        <v/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9"/>
      <c r="H73" s="7"/>
      <c r="I73" s="7"/>
      <c r="J73" s="8"/>
      <c r="K73" s="8"/>
      <c r="L73" s="8"/>
      <c r="M73" s="8"/>
      <c r="N73" s="8"/>
      <c r="O73" s="8"/>
      <c r="P73" s="8"/>
      <c r="Q73" s="5" t="str">
        <f aca="false">IF(C73="","",K73*6+L73*5+M73*3+N73*3+O73*3)</f>
        <v/>
      </c>
      <c r="R73" s="5" t="str">
        <f aca="false">IF(C73="","",IF(P73="Sim","Sem fit",IF(Q73&gt;=75,"Fit forte",IF(Q73&gt;=55,"Fit condicionado","Sem fit"))))</f>
        <v/>
      </c>
      <c r="S73" s="10" t="str">
        <f aca="false">IF(C73="","",F73*I73*H73*G73)</f>
        <v/>
      </c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9"/>
      <c r="H74" s="7"/>
      <c r="I74" s="7"/>
      <c r="J74" s="8"/>
      <c r="K74" s="8"/>
      <c r="L74" s="8"/>
      <c r="M74" s="8"/>
      <c r="N74" s="8"/>
      <c r="O74" s="8"/>
      <c r="P74" s="8"/>
      <c r="Q74" s="5" t="str">
        <f aca="false">IF(C74="","",K74*6+L74*5+M74*3+N74*3+O74*3)</f>
        <v/>
      </c>
      <c r="R74" s="5" t="str">
        <f aca="false">IF(C74="","",IF(P74="Sim","Sem fit",IF(Q74&gt;=75,"Fit forte",IF(Q74&gt;=55,"Fit condicionado","Sem fit"))))</f>
        <v/>
      </c>
      <c r="S74" s="10" t="str">
        <f aca="false">IF(C74="","",F74*I74*H74*G74)</f>
        <v/>
      </c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9"/>
      <c r="H75" s="7"/>
      <c r="I75" s="7"/>
      <c r="J75" s="8"/>
      <c r="K75" s="8"/>
      <c r="L75" s="8"/>
      <c r="M75" s="8"/>
      <c r="N75" s="8"/>
      <c r="O75" s="8"/>
      <c r="P75" s="8"/>
      <c r="Q75" s="5" t="str">
        <f aca="false">IF(C75="","",K75*6+L75*5+M75*3+N75*3+O75*3)</f>
        <v/>
      </c>
      <c r="R75" s="5" t="str">
        <f aca="false">IF(C75="","",IF(P75="Sim","Sem fit",IF(Q75&gt;=75,"Fit forte",IF(Q75&gt;=55,"Fit condicionado","Sem fit"))))</f>
        <v/>
      </c>
      <c r="S75" s="10" t="str">
        <f aca="false">IF(C75="","",F75*I75*H75*G75)</f>
        <v/>
      </c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9"/>
      <c r="H76" s="7"/>
      <c r="I76" s="7"/>
      <c r="J76" s="8"/>
      <c r="K76" s="8"/>
      <c r="L76" s="8"/>
      <c r="M76" s="8"/>
      <c r="N76" s="8"/>
      <c r="O76" s="8"/>
      <c r="P76" s="8"/>
      <c r="Q76" s="5" t="str">
        <f aca="false">IF(C76="","",K76*6+L76*5+M76*3+N76*3+O76*3)</f>
        <v/>
      </c>
      <c r="R76" s="5" t="str">
        <f aca="false">IF(C76="","",IF(P76="Sim","Sem fit",IF(Q76&gt;=75,"Fit forte",IF(Q76&gt;=55,"Fit condicionado","Sem fit"))))</f>
        <v/>
      </c>
      <c r="S76" s="10" t="str">
        <f aca="false">IF(C76="","",F76*I76*H76*G76)</f>
        <v/>
      </c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9"/>
      <c r="H77" s="7"/>
      <c r="I77" s="7"/>
      <c r="J77" s="8"/>
      <c r="K77" s="8"/>
      <c r="L77" s="8"/>
      <c r="M77" s="8"/>
      <c r="N77" s="8"/>
      <c r="O77" s="8"/>
      <c r="P77" s="8"/>
      <c r="Q77" s="5" t="str">
        <f aca="false">IF(C77="","",K77*6+L77*5+M77*3+N77*3+O77*3)</f>
        <v/>
      </c>
      <c r="R77" s="5" t="str">
        <f aca="false">IF(C77="","",IF(P77="Sim","Sem fit",IF(Q77&gt;=75,"Fit forte",IF(Q77&gt;=55,"Fit condicionado","Sem fit"))))</f>
        <v/>
      </c>
      <c r="S77" s="10" t="str">
        <f aca="false">IF(C77="","",F77*I77*H77*G77)</f>
        <v/>
      </c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9"/>
      <c r="H78" s="7"/>
      <c r="I78" s="7"/>
      <c r="J78" s="8"/>
      <c r="K78" s="8"/>
      <c r="L78" s="8"/>
      <c r="M78" s="8"/>
      <c r="N78" s="8"/>
      <c r="O78" s="8"/>
      <c r="P78" s="8"/>
      <c r="Q78" s="5" t="str">
        <f aca="false">IF(C78="","",K78*6+L78*5+M78*3+N78*3+O78*3)</f>
        <v/>
      </c>
      <c r="R78" s="5" t="str">
        <f aca="false">IF(C78="","",IF(P78="Sim","Sem fit",IF(Q78&gt;=75,"Fit forte",IF(Q78&gt;=55,"Fit condicionado","Sem fit"))))</f>
        <v/>
      </c>
      <c r="S78" s="10" t="str">
        <f aca="false">IF(C78="","",F78*I78*H78*G78)</f>
        <v/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9"/>
      <c r="H79" s="7"/>
      <c r="I79" s="7"/>
      <c r="J79" s="8"/>
      <c r="K79" s="8"/>
      <c r="L79" s="8"/>
      <c r="M79" s="8"/>
      <c r="N79" s="8"/>
      <c r="O79" s="8"/>
      <c r="P79" s="8"/>
      <c r="Q79" s="5" t="str">
        <f aca="false">IF(C79="","",K79*6+L79*5+M79*3+N79*3+O79*3)</f>
        <v/>
      </c>
      <c r="R79" s="5" t="str">
        <f aca="false">IF(C79="","",IF(P79="Sim","Sem fit",IF(Q79&gt;=75,"Fit forte",IF(Q79&gt;=55,"Fit condicionado","Sem fit"))))</f>
        <v/>
      </c>
      <c r="S79" s="10" t="str">
        <f aca="false">IF(C79="","",F79*I79*H79*G79)</f>
        <v/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9"/>
      <c r="H80" s="7"/>
      <c r="I80" s="7"/>
      <c r="J80" s="8"/>
      <c r="K80" s="8"/>
      <c r="L80" s="8"/>
      <c r="M80" s="8"/>
      <c r="N80" s="8"/>
      <c r="O80" s="8"/>
      <c r="P80" s="8"/>
      <c r="Q80" s="5" t="str">
        <f aca="false">IF(C80="","",K80*6+L80*5+M80*3+N80*3+O80*3)</f>
        <v/>
      </c>
      <c r="R80" s="5" t="str">
        <f aca="false">IF(C80="","",IF(P80="Sim","Sem fit",IF(Q80&gt;=75,"Fit forte",IF(Q80&gt;=55,"Fit condicionado","Sem fit"))))</f>
        <v/>
      </c>
      <c r="S80" s="10" t="str">
        <f aca="false">IF(C80="","",F80*I80*H80*G80)</f>
        <v/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9"/>
      <c r="H81" s="7"/>
      <c r="I81" s="7"/>
      <c r="J81" s="8"/>
      <c r="K81" s="8"/>
      <c r="L81" s="8"/>
      <c r="M81" s="8"/>
      <c r="N81" s="8"/>
      <c r="O81" s="8"/>
      <c r="P81" s="8"/>
      <c r="Q81" s="5" t="str">
        <f aca="false">IF(C81="","",K81*6+L81*5+M81*3+N81*3+O81*3)</f>
        <v/>
      </c>
      <c r="R81" s="5" t="str">
        <f aca="false">IF(C81="","",IF(P81="Sim","Sem fit",IF(Q81&gt;=75,"Fit forte",IF(Q81&gt;=55,"Fit condicionado","Sem fit"))))</f>
        <v/>
      </c>
      <c r="S81" s="10" t="str">
        <f aca="false">IF(C81="","",F81*I81*H81*G81)</f>
        <v/>
      </c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9"/>
      <c r="H82" s="7"/>
      <c r="I82" s="7"/>
      <c r="J82" s="8"/>
      <c r="K82" s="8"/>
      <c r="L82" s="8"/>
      <c r="M82" s="8"/>
      <c r="N82" s="8"/>
      <c r="O82" s="8"/>
      <c r="P82" s="8"/>
      <c r="Q82" s="5" t="str">
        <f aca="false">IF(C82="","",K82*6+L82*5+M82*3+N82*3+O82*3)</f>
        <v/>
      </c>
      <c r="R82" s="5" t="str">
        <f aca="false">IF(C82="","",IF(P82="Sim","Sem fit",IF(Q82&gt;=75,"Fit forte",IF(Q82&gt;=55,"Fit condicionado","Sem fit"))))</f>
        <v/>
      </c>
      <c r="S82" s="10" t="str">
        <f aca="false">IF(C82="","",F82*I82*H82*G82)</f>
        <v/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9"/>
      <c r="H83" s="7"/>
      <c r="I83" s="7"/>
      <c r="J83" s="8"/>
      <c r="K83" s="8"/>
      <c r="L83" s="8"/>
      <c r="M83" s="8"/>
      <c r="N83" s="8"/>
      <c r="O83" s="8"/>
      <c r="P83" s="8"/>
      <c r="Q83" s="5" t="str">
        <f aca="false">IF(C83="","",K83*6+L83*5+M83*3+N83*3+O83*3)</f>
        <v/>
      </c>
      <c r="R83" s="5" t="str">
        <f aca="false">IF(C83="","",IF(P83="Sim","Sem fit",IF(Q83&gt;=75,"Fit forte",IF(Q83&gt;=55,"Fit condicionado","Sem fit"))))</f>
        <v/>
      </c>
      <c r="S83" s="10" t="str">
        <f aca="false">IF(C83="","",F83*I83*H83*G83)</f>
        <v/>
      </c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9"/>
      <c r="H84" s="7"/>
      <c r="I84" s="7"/>
      <c r="J84" s="8"/>
      <c r="K84" s="8"/>
      <c r="L84" s="8"/>
      <c r="M84" s="8"/>
      <c r="N84" s="8"/>
      <c r="O84" s="8"/>
      <c r="P84" s="8"/>
      <c r="Q84" s="5" t="str">
        <f aca="false">IF(C84="","",K84*6+L84*5+M84*3+N84*3+O84*3)</f>
        <v/>
      </c>
      <c r="R84" s="5" t="str">
        <f aca="false">IF(C84="","",IF(P84="Sim","Sem fit",IF(Q84&gt;=75,"Fit forte",IF(Q84&gt;=55,"Fit condicionado","Sem fit"))))</f>
        <v/>
      </c>
      <c r="S84" s="10" t="str">
        <f aca="false">IF(C84="","",F84*I84*H84*G84)</f>
        <v/>
      </c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9"/>
      <c r="H85" s="7"/>
      <c r="I85" s="7"/>
      <c r="J85" s="8"/>
      <c r="K85" s="8"/>
      <c r="L85" s="8"/>
      <c r="M85" s="8"/>
      <c r="N85" s="8"/>
      <c r="O85" s="8"/>
      <c r="P85" s="8"/>
      <c r="Q85" s="5" t="str">
        <f aca="false">IF(C85="","",K85*6+L85*5+M85*3+N85*3+O85*3)</f>
        <v/>
      </c>
      <c r="R85" s="5" t="str">
        <f aca="false">IF(C85="","",IF(P85="Sim","Sem fit",IF(Q85&gt;=75,"Fit forte",IF(Q85&gt;=55,"Fit condicionado","Sem fit"))))</f>
        <v/>
      </c>
      <c r="S85" s="10" t="str">
        <f aca="false">IF(C85="","",F85*I85*H85*G85)</f>
        <v/>
      </c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9"/>
      <c r="H86" s="7"/>
      <c r="I86" s="7"/>
      <c r="J86" s="8"/>
      <c r="K86" s="8"/>
      <c r="L86" s="8"/>
      <c r="M86" s="8"/>
      <c r="N86" s="8"/>
      <c r="O86" s="8"/>
      <c r="P86" s="8"/>
      <c r="Q86" s="5" t="str">
        <f aca="false">IF(C86="","",K86*6+L86*5+M86*3+N86*3+O86*3)</f>
        <v/>
      </c>
      <c r="R86" s="5" t="str">
        <f aca="false">IF(C86="","",IF(P86="Sim","Sem fit",IF(Q86&gt;=75,"Fit forte",IF(Q86&gt;=55,"Fit condicionado","Sem fit"))))</f>
        <v/>
      </c>
      <c r="S86" s="10" t="str">
        <f aca="false">IF(C86="","",F86*I86*H86*G86)</f>
        <v/>
      </c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9"/>
      <c r="H87" s="7"/>
      <c r="I87" s="7"/>
      <c r="J87" s="8"/>
      <c r="K87" s="8"/>
      <c r="L87" s="8"/>
      <c r="M87" s="8"/>
      <c r="N87" s="8"/>
      <c r="O87" s="8"/>
      <c r="P87" s="8"/>
      <c r="Q87" s="5" t="str">
        <f aca="false">IF(C87="","",K87*6+L87*5+M87*3+N87*3+O87*3)</f>
        <v/>
      </c>
      <c r="R87" s="5" t="str">
        <f aca="false">IF(C87="","",IF(P87="Sim","Sem fit",IF(Q87&gt;=75,"Fit forte",IF(Q87&gt;=55,"Fit condicionado","Sem fit"))))</f>
        <v/>
      </c>
      <c r="S87" s="10" t="str">
        <f aca="false">IF(C87="","",F87*I87*H87*G87)</f>
        <v/>
      </c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9"/>
      <c r="H88" s="7"/>
      <c r="I88" s="7"/>
      <c r="J88" s="8"/>
      <c r="K88" s="8"/>
      <c r="L88" s="8"/>
      <c r="M88" s="8"/>
      <c r="N88" s="8"/>
      <c r="O88" s="8"/>
      <c r="P88" s="8"/>
      <c r="Q88" s="5" t="str">
        <f aca="false">IF(C88="","",K88*6+L88*5+M88*3+N88*3+O88*3)</f>
        <v/>
      </c>
      <c r="R88" s="5" t="str">
        <f aca="false">IF(C88="","",IF(P88="Sim","Sem fit",IF(Q88&gt;=75,"Fit forte",IF(Q88&gt;=55,"Fit condicionado","Sem fit"))))</f>
        <v/>
      </c>
      <c r="S88" s="10" t="str">
        <f aca="false">IF(C88="","",F88*I88*H88*G88)</f>
        <v/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9"/>
      <c r="H89" s="7"/>
      <c r="I89" s="7"/>
      <c r="J89" s="8"/>
      <c r="K89" s="8"/>
      <c r="L89" s="8"/>
      <c r="M89" s="8"/>
      <c r="N89" s="8"/>
      <c r="O89" s="8"/>
      <c r="P89" s="8"/>
      <c r="Q89" s="5" t="str">
        <f aca="false">IF(C89="","",K89*6+L89*5+M89*3+N89*3+O89*3)</f>
        <v/>
      </c>
      <c r="R89" s="5" t="str">
        <f aca="false">IF(C89="","",IF(P89="Sim","Sem fit",IF(Q89&gt;=75,"Fit forte",IF(Q89&gt;=55,"Fit condicionado","Sem fit"))))</f>
        <v/>
      </c>
      <c r="S89" s="10" t="str">
        <f aca="false">IF(C89="","",F89*I89*H89*G89)</f>
        <v/>
      </c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9"/>
      <c r="H90" s="7"/>
      <c r="I90" s="7"/>
      <c r="J90" s="8"/>
      <c r="K90" s="8"/>
      <c r="L90" s="8"/>
      <c r="M90" s="8"/>
      <c r="N90" s="8"/>
      <c r="O90" s="8"/>
      <c r="P90" s="8"/>
      <c r="Q90" s="5" t="str">
        <f aca="false">IF(C90="","",K90*6+L90*5+M90*3+N90*3+O90*3)</f>
        <v/>
      </c>
      <c r="R90" s="5" t="str">
        <f aca="false">IF(C90="","",IF(P90="Sim","Sem fit",IF(Q90&gt;=75,"Fit forte",IF(Q90&gt;=55,"Fit condicionado","Sem fit"))))</f>
        <v/>
      </c>
      <c r="S90" s="10" t="str">
        <f aca="false">IF(C90="","",F90*I90*H90*G90)</f>
        <v/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9"/>
      <c r="H91" s="7"/>
      <c r="I91" s="7"/>
      <c r="J91" s="8"/>
      <c r="K91" s="8"/>
      <c r="L91" s="8"/>
      <c r="M91" s="8"/>
      <c r="N91" s="8"/>
      <c r="O91" s="8"/>
      <c r="P91" s="8"/>
      <c r="Q91" s="5" t="str">
        <f aca="false">IF(C91="","",K91*6+L91*5+M91*3+N91*3+O91*3)</f>
        <v/>
      </c>
      <c r="R91" s="5" t="str">
        <f aca="false">IF(C91="","",IF(P91="Sim","Sem fit",IF(Q91&gt;=75,"Fit forte",IF(Q91&gt;=55,"Fit condicionado","Sem fit"))))</f>
        <v/>
      </c>
      <c r="S91" s="10" t="str">
        <f aca="false">IF(C91="","",F91*I91*H91*G91)</f>
        <v/>
      </c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9"/>
      <c r="H92" s="7"/>
      <c r="I92" s="7"/>
      <c r="J92" s="8"/>
      <c r="K92" s="8"/>
      <c r="L92" s="8"/>
      <c r="M92" s="8"/>
      <c r="N92" s="8"/>
      <c r="O92" s="8"/>
      <c r="P92" s="8"/>
      <c r="Q92" s="5" t="str">
        <f aca="false">IF(C92="","",K92*6+L92*5+M92*3+N92*3+O92*3)</f>
        <v/>
      </c>
      <c r="R92" s="5" t="str">
        <f aca="false">IF(C92="","",IF(P92="Sim","Sem fit",IF(Q92&gt;=75,"Fit forte",IF(Q92&gt;=55,"Fit condicionado","Sem fit"))))</f>
        <v/>
      </c>
      <c r="S92" s="10" t="str">
        <f aca="false">IF(C92="","",F92*I92*H92*G92)</f>
        <v/>
      </c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9"/>
      <c r="H93" s="7"/>
      <c r="I93" s="7"/>
      <c r="J93" s="8"/>
      <c r="K93" s="8"/>
      <c r="L93" s="8"/>
      <c r="M93" s="8"/>
      <c r="N93" s="8"/>
      <c r="O93" s="8"/>
      <c r="P93" s="8"/>
      <c r="Q93" s="5" t="str">
        <f aca="false">IF(C93="","",K93*6+L93*5+M93*3+N93*3+O93*3)</f>
        <v/>
      </c>
      <c r="R93" s="5" t="str">
        <f aca="false">IF(C93="","",IF(P93="Sim","Sem fit",IF(Q93&gt;=75,"Fit forte",IF(Q93&gt;=55,"Fit condicionado","Sem fit"))))</f>
        <v/>
      </c>
      <c r="S93" s="10" t="str">
        <f aca="false">IF(C93="","",F93*I93*H93*G93)</f>
        <v/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9"/>
      <c r="H94" s="7"/>
      <c r="I94" s="7"/>
      <c r="J94" s="8"/>
      <c r="K94" s="8"/>
      <c r="L94" s="8"/>
      <c r="M94" s="8"/>
      <c r="N94" s="8"/>
      <c r="O94" s="8"/>
      <c r="P94" s="8"/>
      <c r="Q94" s="5" t="str">
        <f aca="false">IF(C94="","",K94*6+L94*5+M94*3+N94*3+O94*3)</f>
        <v/>
      </c>
      <c r="R94" s="5" t="str">
        <f aca="false">IF(C94="","",IF(P94="Sim","Sem fit",IF(Q94&gt;=75,"Fit forte",IF(Q94&gt;=55,"Fit condicionado","Sem fit"))))</f>
        <v/>
      </c>
      <c r="S94" s="10" t="str">
        <f aca="false">IF(C94="","",F94*I94*H94*G94)</f>
        <v/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9"/>
      <c r="H95" s="7"/>
      <c r="I95" s="7"/>
      <c r="J95" s="8"/>
      <c r="K95" s="8"/>
      <c r="L95" s="8"/>
      <c r="M95" s="8"/>
      <c r="N95" s="8"/>
      <c r="O95" s="8"/>
      <c r="P95" s="8"/>
      <c r="Q95" s="5" t="str">
        <f aca="false">IF(C95="","",K95*6+L95*5+M95*3+N95*3+O95*3)</f>
        <v/>
      </c>
      <c r="R95" s="5" t="str">
        <f aca="false">IF(C95="","",IF(P95="Sim","Sem fit",IF(Q95&gt;=75,"Fit forte",IF(Q95&gt;=55,"Fit condicionado","Sem fit"))))</f>
        <v/>
      </c>
      <c r="S95" s="10" t="str">
        <f aca="false">IF(C95="","",F95*I95*H95*G95)</f>
        <v/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9"/>
      <c r="H96" s="7"/>
      <c r="I96" s="7"/>
      <c r="J96" s="8"/>
      <c r="K96" s="8"/>
      <c r="L96" s="8"/>
      <c r="M96" s="8"/>
      <c r="N96" s="8"/>
      <c r="O96" s="8"/>
      <c r="P96" s="8"/>
      <c r="Q96" s="5" t="str">
        <f aca="false">IF(C96="","",K96*6+L96*5+M96*3+N96*3+O96*3)</f>
        <v/>
      </c>
      <c r="R96" s="5" t="str">
        <f aca="false">IF(C96="","",IF(P96="Sim","Sem fit",IF(Q96&gt;=75,"Fit forte",IF(Q96&gt;=55,"Fit condicionado","Sem fit"))))</f>
        <v/>
      </c>
      <c r="S96" s="10" t="str">
        <f aca="false">IF(C96="","",F96*I96*H96*G96)</f>
        <v/>
      </c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9"/>
      <c r="H97" s="7"/>
      <c r="I97" s="7"/>
      <c r="J97" s="8"/>
      <c r="K97" s="8"/>
      <c r="L97" s="8"/>
      <c r="M97" s="8"/>
      <c r="N97" s="8"/>
      <c r="O97" s="8"/>
      <c r="P97" s="8"/>
      <c r="Q97" s="5" t="str">
        <f aca="false">IF(C97="","",K97*6+L97*5+M97*3+N97*3+O97*3)</f>
        <v/>
      </c>
      <c r="R97" s="5" t="str">
        <f aca="false">IF(C97="","",IF(P97="Sim","Sem fit",IF(Q97&gt;=75,"Fit forte",IF(Q97&gt;=55,"Fit condicionado","Sem fit"))))</f>
        <v/>
      </c>
      <c r="S97" s="10" t="str">
        <f aca="false">IF(C97="","",F97*I97*H97*G97)</f>
        <v/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9"/>
      <c r="H98" s="7"/>
      <c r="I98" s="7"/>
      <c r="J98" s="8"/>
      <c r="K98" s="8"/>
      <c r="L98" s="8"/>
      <c r="M98" s="8"/>
      <c r="N98" s="8"/>
      <c r="O98" s="8"/>
      <c r="P98" s="8"/>
      <c r="Q98" s="5" t="str">
        <f aca="false">IF(C98="","",K98*6+L98*5+M98*3+N98*3+O98*3)</f>
        <v/>
      </c>
      <c r="R98" s="5" t="str">
        <f aca="false">IF(C98="","",IF(P98="Sim","Sem fit",IF(Q98&gt;=75,"Fit forte",IF(Q98&gt;=55,"Fit condicionado","Sem fit"))))</f>
        <v/>
      </c>
      <c r="S98" s="10" t="str">
        <f aca="false">IF(C98="","",F98*I98*H98*G98)</f>
        <v/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9"/>
      <c r="H99" s="7"/>
      <c r="I99" s="7"/>
      <c r="J99" s="8"/>
      <c r="K99" s="8"/>
      <c r="L99" s="8"/>
      <c r="M99" s="8"/>
      <c r="N99" s="8"/>
      <c r="O99" s="8"/>
      <c r="P99" s="8"/>
      <c r="Q99" s="5" t="str">
        <f aca="false">IF(C99="","",K99*6+L99*5+M99*3+N99*3+O99*3)</f>
        <v/>
      </c>
      <c r="R99" s="5" t="str">
        <f aca="false">IF(C99="","",IF(P99="Sim","Sem fit",IF(Q99&gt;=75,"Fit forte",IF(Q99&gt;=55,"Fit condicionado","Sem fit"))))</f>
        <v/>
      </c>
      <c r="S99" s="10" t="str">
        <f aca="false">IF(C99="","",F99*I99*H99*G99)</f>
        <v/>
      </c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9"/>
      <c r="H100" s="7"/>
      <c r="I100" s="7"/>
      <c r="J100" s="8"/>
      <c r="K100" s="8"/>
      <c r="L100" s="8"/>
      <c r="M100" s="8"/>
      <c r="N100" s="8"/>
      <c r="O100" s="8"/>
      <c r="P100" s="8"/>
      <c r="Q100" s="5" t="str">
        <f aca="false">IF(C100="","",K100*6+L100*5+M100*3+N100*3+O100*3)</f>
        <v/>
      </c>
      <c r="R100" s="5" t="str">
        <f aca="false">IF(C100="","",IF(P100="Sim","Sem fit",IF(Q100&gt;=75,"Fit forte",IF(Q100&gt;=55,"Fit condicionado","Sem fit"))))</f>
        <v/>
      </c>
      <c r="S100" s="10" t="str">
        <f aca="false">IF(C100="","",F100*I100*H100*G100)</f>
        <v/>
      </c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9"/>
      <c r="H101" s="7"/>
      <c r="I101" s="7"/>
      <c r="J101" s="8"/>
      <c r="K101" s="8"/>
      <c r="L101" s="8"/>
      <c r="M101" s="8"/>
      <c r="N101" s="8"/>
      <c r="O101" s="8"/>
      <c r="P101" s="8"/>
      <c r="Q101" s="5" t="str">
        <f aca="false">IF(C101="","",K101*6+L101*5+M101*3+N101*3+O101*3)</f>
        <v/>
      </c>
      <c r="R101" s="5" t="str">
        <f aca="false">IF(C101="","",IF(P101="Sim","Sem fit",IF(Q101&gt;=75,"Fit forte",IF(Q101&gt;=55,"Fit condicionado","Sem fit"))))</f>
        <v/>
      </c>
      <c r="S101" s="10" t="str">
        <f aca="false">IF(C101="","",F101*I101*H101*G101)</f>
        <v/>
      </c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9"/>
      <c r="H102" s="7"/>
      <c r="I102" s="7"/>
      <c r="J102" s="8"/>
      <c r="K102" s="8"/>
      <c r="L102" s="8"/>
      <c r="M102" s="8"/>
      <c r="N102" s="8"/>
      <c r="O102" s="8"/>
      <c r="P102" s="8"/>
      <c r="Q102" s="5" t="str">
        <f aca="false">IF(C102="","",K102*6+L102*5+M102*3+N102*3+O102*3)</f>
        <v/>
      </c>
      <c r="R102" s="5" t="str">
        <f aca="false">IF(C102="","",IF(P102="Sim","Sem fit",IF(Q102&gt;=75,"Fit forte",IF(Q102&gt;=55,"Fit condicionado","Sem fit"))))</f>
        <v/>
      </c>
      <c r="S102" s="10" t="str">
        <f aca="false">IF(C102="","",F102*I102*H102*G102)</f>
        <v/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9"/>
      <c r="H103" s="7"/>
      <c r="I103" s="7"/>
      <c r="J103" s="8"/>
      <c r="K103" s="8"/>
      <c r="L103" s="8"/>
      <c r="M103" s="8"/>
      <c r="N103" s="8"/>
      <c r="O103" s="8"/>
      <c r="P103" s="8"/>
      <c r="Q103" s="5" t="str">
        <f aca="false">IF(C103="","",K103*6+L103*5+M103*3+N103*3+O103*3)</f>
        <v/>
      </c>
      <c r="R103" s="5" t="str">
        <f aca="false">IF(C103="","",IF(P103="Sim","Sem fit",IF(Q103&gt;=75,"Fit forte",IF(Q103&gt;=55,"Fit condicionado","Sem fit"))))</f>
        <v/>
      </c>
      <c r="S103" s="10" t="str">
        <f aca="false">IF(C103="","",F103*I103*H103*G103)</f>
        <v/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9"/>
      <c r="H104" s="7"/>
      <c r="I104" s="7"/>
      <c r="J104" s="8"/>
      <c r="K104" s="8"/>
      <c r="L104" s="8"/>
      <c r="M104" s="8"/>
      <c r="N104" s="8"/>
      <c r="O104" s="8"/>
      <c r="P104" s="8"/>
      <c r="Q104" s="5" t="str">
        <f aca="false">IF(C104="","",K104*6+L104*5+M104*3+N104*3+O104*3)</f>
        <v/>
      </c>
      <c r="R104" s="5" t="str">
        <f aca="false">IF(C104="","",IF(P104="Sim","Sem fit",IF(Q104&gt;=75,"Fit forte",IF(Q104&gt;=55,"Fit condicionado","Sem fit"))))</f>
        <v/>
      </c>
      <c r="S104" s="10" t="str">
        <f aca="false">IF(C104="","",F104*I104*H104*G104)</f>
        <v/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9"/>
      <c r="H105" s="7"/>
      <c r="I105" s="7"/>
      <c r="J105" s="8"/>
      <c r="K105" s="8"/>
      <c r="L105" s="8"/>
      <c r="M105" s="8"/>
      <c r="N105" s="8"/>
      <c r="O105" s="8"/>
      <c r="P105" s="8"/>
      <c r="Q105" s="5" t="str">
        <f aca="false">IF(C105="","",K105*6+L105*5+M105*3+N105*3+O105*3)</f>
        <v/>
      </c>
      <c r="R105" s="5" t="str">
        <f aca="false">IF(C105="","",IF(P105="Sim","Sem fit",IF(Q105&gt;=75,"Fit forte",IF(Q105&gt;=55,"Fit condicionado","Sem fit"))))</f>
        <v/>
      </c>
      <c r="S105" s="10" t="str">
        <f aca="false">IF(C105="","",F105*I105*H105*G105)</f>
        <v/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</sheetData>
  <autoFilter ref="A4:AD105"/>
  <mergeCells count="2">
    <mergeCell ref="A1:H1"/>
    <mergeCell ref="A2:H2"/>
  </mergeCells>
  <conditionalFormatting sqref="Q5:Q105">
    <cfRule type="colorScale" priority="2">
      <colorScale>
        <cfvo type="num" val="0"/>
        <cfvo type="num" val="55"/>
        <cfvo type="num" val="100"/>
        <color rgb="FFDC2626"/>
        <color rgb="FFF59E0B"/>
        <color rgb="FF16A34A"/>
      </colorScale>
    </cfRule>
  </conditionalFormatting>
  <dataValidations count="3">
    <dataValidation allowBlank="true" errorStyle="stop" operator="between" showDropDown="false" showErrorMessage="false" showInputMessage="false" sqref="K5:O105" type="list">
      <formula1>"0,1,2,3,4,5"</formula1>
      <formula2>0</formula2>
    </dataValidation>
    <dataValidation allowBlank="true" errorStyle="stop" operator="between" showDropDown="false" showErrorMessage="false" showInputMessage="false" sqref="P5:P105" type="list">
      <formula1>"Não,Sim"</formula1>
      <formula2>0</formula2>
    </dataValidation>
    <dataValidation allowBlank="true" errorStyle="stop" operator="between" showDropDown="false" showErrorMessage="false" showInputMessage="false" sqref="AB5:AB105" type="list">
      <formula1>"Novo lead,Descoberta agendada,Descoberta realizada,Fit forte,Fit condicionado,Sem fit,Validação técnica,Proposta agendada,Proposta enviada,Negociação,Ganho,Perdido,Nutrição"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5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2" min="1" style="0" width="17"/>
  </cols>
  <sheetData>
    <row r="1" customFormat="false" ht="31.5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31.5" hidden="false" customHeight="true" outlineLevel="0" collapsed="false">
      <c r="A2" s="2" t="s">
        <v>193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customFormat="false" ht="42" hidden="false" customHeight="true" outlineLevel="0" collapsed="false">
      <c r="A4" s="4" t="s">
        <v>194</v>
      </c>
      <c r="B4" s="4" t="s">
        <v>149</v>
      </c>
      <c r="C4" s="4" t="s">
        <v>114</v>
      </c>
      <c r="D4" s="4" t="s">
        <v>195</v>
      </c>
      <c r="E4" s="4" t="s">
        <v>196</v>
      </c>
      <c r="F4" s="4" t="s">
        <v>197</v>
      </c>
      <c r="G4" s="4" t="s">
        <v>198</v>
      </c>
      <c r="H4" s="4" t="s">
        <v>199</v>
      </c>
      <c r="I4" s="4" t="s">
        <v>200</v>
      </c>
      <c r="J4" s="4" t="s">
        <v>201</v>
      </c>
      <c r="K4" s="4" t="s">
        <v>202</v>
      </c>
      <c r="L4" s="4" t="s">
        <v>203</v>
      </c>
      <c r="M4" s="4" t="s">
        <v>204</v>
      </c>
      <c r="N4" s="4" t="s">
        <v>205</v>
      </c>
      <c r="O4" s="4" t="s">
        <v>206</v>
      </c>
      <c r="P4" s="4" t="s">
        <v>207</v>
      </c>
      <c r="Q4" s="4" t="s">
        <v>208</v>
      </c>
      <c r="R4" s="4" t="s">
        <v>209</v>
      </c>
      <c r="S4" s="4" t="s">
        <v>210</v>
      </c>
      <c r="T4" s="4" t="s">
        <v>211</v>
      </c>
      <c r="U4" s="4" t="s">
        <v>212</v>
      </c>
      <c r="V4" s="4" t="s">
        <v>213</v>
      </c>
      <c r="W4" s="4" t="s">
        <v>214</v>
      </c>
      <c r="X4" s="4" t="s">
        <v>215</v>
      </c>
      <c r="Y4" s="4" t="s">
        <v>216</v>
      </c>
      <c r="Z4" s="4" t="s">
        <v>217</v>
      </c>
      <c r="AA4" s="4" t="s">
        <v>218</v>
      </c>
      <c r="AB4" s="4" t="s">
        <v>219</v>
      </c>
      <c r="AC4" s="4" t="s">
        <v>220</v>
      </c>
      <c r="AD4" s="4" t="s">
        <v>221</v>
      </c>
      <c r="AE4" s="4" t="s">
        <v>222</v>
      </c>
      <c r="AF4" s="4" t="s">
        <v>223</v>
      </c>
    </row>
    <row r="5" customFormat="false" ht="15" hidden="false" customHeight="false" outlineLevel="0" collapsed="false">
      <c r="A5" s="8" t="s">
        <v>176</v>
      </c>
      <c r="B5" s="8" t="s">
        <v>178</v>
      </c>
      <c r="C5" s="8" t="n">
        <v>1</v>
      </c>
      <c r="D5" s="8" t="n">
        <v>1</v>
      </c>
      <c r="E5" s="8" t="n">
        <v>6</v>
      </c>
      <c r="F5" s="8" t="n">
        <v>8</v>
      </c>
      <c r="G5" s="8" t="n">
        <v>1</v>
      </c>
      <c r="H5" s="8" t="n">
        <v>0</v>
      </c>
      <c r="I5" s="8" t="n">
        <v>1</v>
      </c>
      <c r="J5" s="8" t="n">
        <v>1</v>
      </c>
      <c r="K5" s="8" t="n">
        <v>12</v>
      </c>
      <c r="L5" s="8" t="n">
        <v>1</v>
      </c>
      <c r="M5" s="8" t="n">
        <v>0</v>
      </c>
      <c r="N5" s="5" t="n">
        <f aca="false">IF(B5="","",Parâmetros!$B$16*C5)</f>
        <v>4</v>
      </c>
      <c r="O5" s="5" t="n">
        <f aca="false">IF(B5="","",Parâmetros!$B$17*C5)</f>
        <v>6</v>
      </c>
      <c r="P5" s="5" t="n">
        <f aca="false">IF(B5="","",D5*Parâmetros!$B$18*C5)</f>
        <v>10</v>
      </c>
      <c r="Q5" s="5" t="n">
        <f aca="false">IF(B5="","",E5*Parâmetros!$B$19*C5)</f>
        <v>9</v>
      </c>
      <c r="R5" s="5" t="n">
        <f aca="false">IF(B5="","",F5*Parâmetros!$B$20*C5)</f>
        <v>4</v>
      </c>
      <c r="S5" s="5" t="n">
        <f aca="false">IF(B5="","",(G5*Parâmetros!$B$21+H5*Parâmetros!$B$22)*C5)</f>
        <v>8</v>
      </c>
      <c r="T5" s="5" t="n">
        <f aca="false">IF(B5="","",I5*Parâmetros!$B$23*C5)</f>
        <v>4</v>
      </c>
      <c r="U5" s="5" t="n">
        <f aca="false">IF(B5="","",J5*Parâmetros!$B$24*C5)</f>
        <v>6</v>
      </c>
      <c r="V5" s="5" t="n">
        <f aca="false">IF(B5="","",K5*Parâmetros!$B$25*C5)</f>
        <v>6</v>
      </c>
      <c r="W5" s="5" t="n">
        <f aca="false">IF(B5="","",L5*Parâmetros!$B$26*C5)</f>
        <v>3</v>
      </c>
      <c r="X5" s="5" t="n">
        <f aca="false">IF(B5="","",SUM(N5:W5)+M5)</f>
        <v>60</v>
      </c>
      <c r="Y5" s="5" t="n">
        <f aca="false">IF(B5="","",X5*Parâmetros!$B$8)</f>
        <v>9</v>
      </c>
      <c r="Z5" s="5" t="n">
        <f aca="false">IF(B5="","",X5*Parâmetros!$B$9)</f>
        <v>6</v>
      </c>
      <c r="AA5" s="5" t="n">
        <f aca="false">IF(B5="","",SUM(X5:Z5))</f>
        <v>75</v>
      </c>
      <c r="AB5" s="11" t="n">
        <f aca="false">IF(B5="","",AA5*Parâmetros!$B$5)</f>
        <v>9000</v>
      </c>
      <c r="AC5" s="11" t="n">
        <f aca="false">IF(B5="","",AB5/(1-Parâmetros!$B$7))</f>
        <v>22500</v>
      </c>
      <c r="AD5" s="11" t="n">
        <f aca="false">IF(B5="","",MAX(AA5*Parâmetros!$B$6,AC5))</f>
        <v>22500</v>
      </c>
      <c r="AE5" s="12" t="n">
        <f aca="false">IF(B5="","",(AD5-AB5)/AD5)</f>
        <v>0.6</v>
      </c>
      <c r="AF5" s="5" t="n">
        <f aca="false">IF(B5="","",AA5/Parâmetros!$B$10)</f>
        <v>3.75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5" t="str">
        <f aca="false">IF(B6="","",Parâmetros!$B$16*C6)</f>
        <v/>
      </c>
      <c r="O6" s="5" t="str">
        <f aca="false">IF(B6="","",Parâmetros!$B$17*C6)</f>
        <v/>
      </c>
      <c r="P6" s="5" t="str">
        <f aca="false">IF(B6="","",D6*Parâmetros!$B$18*C6)</f>
        <v/>
      </c>
      <c r="Q6" s="5" t="str">
        <f aca="false">IF(B6="","",E6*Parâmetros!$B$19*C6)</f>
        <v/>
      </c>
      <c r="R6" s="5" t="str">
        <f aca="false">IF(B6="","",F6*Parâmetros!$B$20*C6)</f>
        <v/>
      </c>
      <c r="S6" s="5" t="str">
        <f aca="false">IF(B6="","",(G6*Parâmetros!$B$21+H6*Parâmetros!$B$22)*C6)</f>
        <v/>
      </c>
      <c r="T6" s="5" t="str">
        <f aca="false">IF(B6="","",I6*Parâmetros!$B$23*C6)</f>
        <v/>
      </c>
      <c r="U6" s="5" t="str">
        <f aca="false">IF(B6="","",J6*Parâmetros!$B$24*C6)</f>
        <v/>
      </c>
      <c r="V6" s="5" t="str">
        <f aca="false">IF(B6="","",K6*Parâmetros!$B$25*C6)</f>
        <v/>
      </c>
      <c r="W6" s="5" t="str">
        <f aca="false">IF(B6="","",L6*Parâmetros!$B$26*C6)</f>
        <v/>
      </c>
      <c r="X6" s="5" t="str">
        <f aca="false">IF(B6="","",SUM(N6:W6)+M6)</f>
        <v/>
      </c>
      <c r="Y6" s="5" t="str">
        <f aca="false">IF(B6="","",X6*Parâmetros!$B$8)</f>
        <v/>
      </c>
      <c r="Z6" s="5" t="str">
        <f aca="false">IF(B6="","",X6*Parâmetros!$B$9)</f>
        <v/>
      </c>
      <c r="AA6" s="5" t="str">
        <f aca="false">IF(B6="","",SUM(X6:Z6))</f>
        <v/>
      </c>
      <c r="AB6" s="11" t="str">
        <f aca="false">IF(B6="","",AA6*Parâmetros!$B$5)</f>
        <v/>
      </c>
      <c r="AC6" s="11" t="str">
        <f aca="false">IF(B6="","",AB6/(1-Parâmetros!$B$7))</f>
        <v/>
      </c>
      <c r="AD6" s="11" t="str">
        <f aca="false">IF(B6="","",MAX(AA6*Parâmetros!$B$6,AC6))</f>
        <v/>
      </c>
      <c r="AE6" s="12" t="str">
        <f aca="false">IF(B6="","",(AD6-AB6)/AD6)</f>
        <v/>
      </c>
      <c r="AF6" s="5" t="str">
        <f aca="false">IF(B6="","",AA6/Parâmetros!$B$10)</f>
        <v/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" t="str">
        <f aca="false">IF(B7="","",Parâmetros!$B$16*C7)</f>
        <v/>
      </c>
      <c r="O7" s="5" t="str">
        <f aca="false">IF(B7="","",Parâmetros!$B$17*C7)</f>
        <v/>
      </c>
      <c r="P7" s="5" t="str">
        <f aca="false">IF(B7="","",D7*Parâmetros!$B$18*C7)</f>
        <v/>
      </c>
      <c r="Q7" s="5" t="str">
        <f aca="false">IF(B7="","",E7*Parâmetros!$B$19*C7)</f>
        <v/>
      </c>
      <c r="R7" s="5" t="str">
        <f aca="false">IF(B7="","",F7*Parâmetros!$B$20*C7)</f>
        <v/>
      </c>
      <c r="S7" s="5" t="str">
        <f aca="false">IF(B7="","",(G7*Parâmetros!$B$21+H7*Parâmetros!$B$22)*C7)</f>
        <v/>
      </c>
      <c r="T7" s="5" t="str">
        <f aca="false">IF(B7="","",I7*Parâmetros!$B$23*C7)</f>
        <v/>
      </c>
      <c r="U7" s="5" t="str">
        <f aca="false">IF(B7="","",J7*Parâmetros!$B$24*C7)</f>
        <v/>
      </c>
      <c r="V7" s="5" t="str">
        <f aca="false">IF(B7="","",K7*Parâmetros!$B$25*C7)</f>
        <v/>
      </c>
      <c r="W7" s="5" t="str">
        <f aca="false">IF(B7="","",L7*Parâmetros!$B$26*C7)</f>
        <v/>
      </c>
      <c r="X7" s="5" t="str">
        <f aca="false">IF(B7="","",SUM(N7:W7)+M7)</f>
        <v/>
      </c>
      <c r="Y7" s="5" t="str">
        <f aca="false">IF(B7="","",X7*Parâmetros!$B$8)</f>
        <v/>
      </c>
      <c r="Z7" s="5" t="str">
        <f aca="false">IF(B7="","",X7*Parâmetros!$B$9)</f>
        <v/>
      </c>
      <c r="AA7" s="5" t="str">
        <f aca="false">IF(B7="","",SUM(X7:Z7))</f>
        <v/>
      </c>
      <c r="AB7" s="11" t="str">
        <f aca="false">IF(B7="","",AA7*Parâmetros!$B$5)</f>
        <v/>
      </c>
      <c r="AC7" s="11" t="str">
        <f aca="false">IF(B7="","",AB7/(1-Parâmetros!$B$7))</f>
        <v/>
      </c>
      <c r="AD7" s="11" t="str">
        <f aca="false">IF(B7="","",MAX(AA7*Parâmetros!$B$6,AC7))</f>
        <v/>
      </c>
      <c r="AE7" s="12" t="str">
        <f aca="false">IF(B7="","",(AD7-AB7)/AD7)</f>
        <v/>
      </c>
      <c r="AF7" s="5" t="str">
        <f aca="false">IF(B7="","",AA7/Parâmetros!$B$10)</f>
        <v/>
      </c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5" t="str">
        <f aca="false">IF(B8="","",Parâmetros!$B$16*C8)</f>
        <v/>
      </c>
      <c r="O8" s="5" t="str">
        <f aca="false">IF(B8="","",Parâmetros!$B$17*C8)</f>
        <v/>
      </c>
      <c r="P8" s="5" t="str">
        <f aca="false">IF(B8="","",D8*Parâmetros!$B$18*C8)</f>
        <v/>
      </c>
      <c r="Q8" s="5" t="str">
        <f aca="false">IF(B8="","",E8*Parâmetros!$B$19*C8)</f>
        <v/>
      </c>
      <c r="R8" s="5" t="str">
        <f aca="false">IF(B8="","",F8*Parâmetros!$B$20*C8)</f>
        <v/>
      </c>
      <c r="S8" s="5" t="str">
        <f aca="false">IF(B8="","",(G8*Parâmetros!$B$21+H8*Parâmetros!$B$22)*C8)</f>
        <v/>
      </c>
      <c r="T8" s="5" t="str">
        <f aca="false">IF(B8="","",I8*Parâmetros!$B$23*C8)</f>
        <v/>
      </c>
      <c r="U8" s="5" t="str">
        <f aca="false">IF(B8="","",J8*Parâmetros!$B$24*C8)</f>
        <v/>
      </c>
      <c r="V8" s="5" t="str">
        <f aca="false">IF(B8="","",K8*Parâmetros!$B$25*C8)</f>
        <v/>
      </c>
      <c r="W8" s="5" t="str">
        <f aca="false">IF(B8="","",L8*Parâmetros!$B$26*C8)</f>
        <v/>
      </c>
      <c r="X8" s="5" t="str">
        <f aca="false">IF(B8="","",SUM(N8:W8)+M8)</f>
        <v/>
      </c>
      <c r="Y8" s="5" t="str">
        <f aca="false">IF(B8="","",X8*Parâmetros!$B$8)</f>
        <v/>
      </c>
      <c r="Z8" s="5" t="str">
        <f aca="false">IF(B8="","",X8*Parâmetros!$B$9)</f>
        <v/>
      </c>
      <c r="AA8" s="5" t="str">
        <f aca="false">IF(B8="","",SUM(X8:Z8))</f>
        <v/>
      </c>
      <c r="AB8" s="11" t="str">
        <f aca="false">IF(B8="","",AA8*Parâmetros!$B$5)</f>
        <v/>
      </c>
      <c r="AC8" s="11" t="str">
        <f aca="false">IF(B8="","",AB8/(1-Parâmetros!$B$7))</f>
        <v/>
      </c>
      <c r="AD8" s="11" t="str">
        <f aca="false">IF(B8="","",MAX(AA8*Parâmetros!$B$6,AC8))</f>
        <v/>
      </c>
      <c r="AE8" s="12" t="str">
        <f aca="false">IF(B8="","",(AD8-AB8)/AD8)</f>
        <v/>
      </c>
      <c r="AF8" s="5" t="str">
        <f aca="false">IF(B8="","",AA8/Parâmetros!$B$10)</f>
        <v/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5" t="str">
        <f aca="false">IF(B9="","",Parâmetros!$B$16*C9)</f>
        <v/>
      </c>
      <c r="O9" s="5" t="str">
        <f aca="false">IF(B9="","",Parâmetros!$B$17*C9)</f>
        <v/>
      </c>
      <c r="P9" s="5" t="str">
        <f aca="false">IF(B9="","",D9*Parâmetros!$B$18*C9)</f>
        <v/>
      </c>
      <c r="Q9" s="5" t="str">
        <f aca="false">IF(B9="","",E9*Parâmetros!$B$19*C9)</f>
        <v/>
      </c>
      <c r="R9" s="5" t="str">
        <f aca="false">IF(B9="","",F9*Parâmetros!$B$20*C9)</f>
        <v/>
      </c>
      <c r="S9" s="5" t="str">
        <f aca="false">IF(B9="","",(G9*Parâmetros!$B$21+H9*Parâmetros!$B$22)*C9)</f>
        <v/>
      </c>
      <c r="T9" s="5" t="str">
        <f aca="false">IF(B9="","",I9*Parâmetros!$B$23*C9)</f>
        <v/>
      </c>
      <c r="U9" s="5" t="str">
        <f aca="false">IF(B9="","",J9*Parâmetros!$B$24*C9)</f>
        <v/>
      </c>
      <c r="V9" s="5" t="str">
        <f aca="false">IF(B9="","",K9*Parâmetros!$B$25*C9)</f>
        <v/>
      </c>
      <c r="W9" s="5" t="str">
        <f aca="false">IF(B9="","",L9*Parâmetros!$B$26*C9)</f>
        <v/>
      </c>
      <c r="X9" s="5" t="str">
        <f aca="false">IF(B9="","",SUM(N9:W9)+M9)</f>
        <v/>
      </c>
      <c r="Y9" s="5" t="str">
        <f aca="false">IF(B9="","",X9*Parâmetros!$B$8)</f>
        <v/>
      </c>
      <c r="Z9" s="5" t="str">
        <f aca="false">IF(B9="","",X9*Parâmetros!$B$9)</f>
        <v/>
      </c>
      <c r="AA9" s="5" t="str">
        <f aca="false">IF(B9="","",SUM(X9:Z9))</f>
        <v/>
      </c>
      <c r="AB9" s="11" t="str">
        <f aca="false">IF(B9="","",AA9*Parâmetros!$B$5)</f>
        <v/>
      </c>
      <c r="AC9" s="11" t="str">
        <f aca="false">IF(B9="","",AB9/(1-Parâmetros!$B$7))</f>
        <v/>
      </c>
      <c r="AD9" s="11" t="str">
        <f aca="false">IF(B9="","",MAX(AA9*Parâmetros!$B$6,AC9))</f>
        <v/>
      </c>
      <c r="AE9" s="12" t="str">
        <f aca="false">IF(B9="","",(AD9-AB9)/AD9)</f>
        <v/>
      </c>
      <c r="AF9" s="5" t="str">
        <f aca="false">IF(B9="","",AA9/Parâmetros!$B$10)</f>
        <v/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5" t="str">
        <f aca="false">IF(B10="","",Parâmetros!$B$16*C10)</f>
        <v/>
      </c>
      <c r="O10" s="5" t="str">
        <f aca="false">IF(B10="","",Parâmetros!$B$17*C10)</f>
        <v/>
      </c>
      <c r="P10" s="5" t="str">
        <f aca="false">IF(B10="","",D10*Parâmetros!$B$18*C10)</f>
        <v/>
      </c>
      <c r="Q10" s="5" t="str">
        <f aca="false">IF(B10="","",E10*Parâmetros!$B$19*C10)</f>
        <v/>
      </c>
      <c r="R10" s="5" t="str">
        <f aca="false">IF(B10="","",F10*Parâmetros!$B$20*C10)</f>
        <v/>
      </c>
      <c r="S10" s="5" t="str">
        <f aca="false">IF(B10="","",(G10*Parâmetros!$B$21+H10*Parâmetros!$B$22)*C10)</f>
        <v/>
      </c>
      <c r="T10" s="5" t="str">
        <f aca="false">IF(B10="","",I10*Parâmetros!$B$23*C10)</f>
        <v/>
      </c>
      <c r="U10" s="5" t="str">
        <f aca="false">IF(B10="","",J10*Parâmetros!$B$24*C10)</f>
        <v/>
      </c>
      <c r="V10" s="5" t="str">
        <f aca="false">IF(B10="","",K10*Parâmetros!$B$25*C10)</f>
        <v/>
      </c>
      <c r="W10" s="5" t="str">
        <f aca="false">IF(B10="","",L10*Parâmetros!$B$26*C10)</f>
        <v/>
      </c>
      <c r="X10" s="5" t="str">
        <f aca="false">IF(B10="","",SUM(N10:W10)+M10)</f>
        <v/>
      </c>
      <c r="Y10" s="5" t="str">
        <f aca="false">IF(B10="","",X10*Parâmetros!$B$8)</f>
        <v/>
      </c>
      <c r="Z10" s="5" t="str">
        <f aca="false">IF(B10="","",X10*Parâmetros!$B$9)</f>
        <v/>
      </c>
      <c r="AA10" s="5" t="str">
        <f aca="false">IF(B10="","",SUM(X10:Z10))</f>
        <v/>
      </c>
      <c r="AB10" s="11" t="str">
        <f aca="false">IF(B10="","",AA10*Parâmetros!$B$5)</f>
        <v/>
      </c>
      <c r="AC10" s="11" t="str">
        <f aca="false">IF(B10="","",AB10/(1-Parâmetros!$B$7))</f>
        <v/>
      </c>
      <c r="AD10" s="11" t="str">
        <f aca="false">IF(B10="","",MAX(AA10*Parâmetros!$B$6,AC10))</f>
        <v/>
      </c>
      <c r="AE10" s="12" t="str">
        <f aca="false">IF(B10="","",(AD10-AB10)/AD10)</f>
        <v/>
      </c>
      <c r="AF10" s="5" t="str">
        <f aca="false">IF(B10="","",AA10/Parâmetros!$B$10)</f>
        <v/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5" t="str">
        <f aca="false">IF(B11="","",Parâmetros!$B$16*C11)</f>
        <v/>
      </c>
      <c r="O11" s="5" t="str">
        <f aca="false">IF(B11="","",Parâmetros!$B$17*C11)</f>
        <v/>
      </c>
      <c r="P11" s="5" t="str">
        <f aca="false">IF(B11="","",D11*Parâmetros!$B$18*C11)</f>
        <v/>
      </c>
      <c r="Q11" s="5" t="str">
        <f aca="false">IF(B11="","",E11*Parâmetros!$B$19*C11)</f>
        <v/>
      </c>
      <c r="R11" s="5" t="str">
        <f aca="false">IF(B11="","",F11*Parâmetros!$B$20*C11)</f>
        <v/>
      </c>
      <c r="S11" s="5" t="str">
        <f aca="false">IF(B11="","",(G11*Parâmetros!$B$21+H11*Parâmetros!$B$22)*C11)</f>
        <v/>
      </c>
      <c r="T11" s="5" t="str">
        <f aca="false">IF(B11="","",I11*Parâmetros!$B$23*C11)</f>
        <v/>
      </c>
      <c r="U11" s="5" t="str">
        <f aca="false">IF(B11="","",J11*Parâmetros!$B$24*C11)</f>
        <v/>
      </c>
      <c r="V11" s="5" t="str">
        <f aca="false">IF(B11="","",K11*Parâmetros!$B$25*C11)</f>
        <v/>
      </c>
      <c r="W11" s="5" t="str">
        <f aca="false">IF(B11="","",L11*Parâmetros!$B$26*C11)</f>
        <v/>
      </c>
      <c r="X11" s="5" t="str">
        <f aca="false">IF(B11="","",SUM(N11:W11)+M11)</f>
        <v/>
      </c>
      <c r="Y11" s="5" t="str">
        <f aca="false">IF(B11="","",X11*Parâmetros!$B$8)</f>
        <v/>
      </c>
      <c r="Z11" s="5" t="str">
        <f aca="false">IF(B11="","",X11*Parâmetros!$B$9)</f>
        <v/>
      </c>
      <c r="AA11" s="5" t="str">
        <f aca="false">IF(B11="","",SUM(X11:Z11))</f>
        <v/>
      </c>
      <c r="AB11" s="11" t="str">
        <f aca="false">IF(B11="","",AA11*Parâmetros!$B$5)</f>
        <v/>
      </c>
      <c r="AC11" s="11" t="str">
        <f aca="false">IF(B11="","",AB11/(1-Parâmetros!$B$7))</f>
        <v/>
      </c>
      <c r="AD11" s="11" t="str">
        <f aca="false">IF(B11="","",MAX(AA11*Parâmetros!$B$6,AC11))</f>
        <v/>
      </c>
      <c r="AE11" s="12" t="str">
        <f aca="false">IF(B11="","",(AD11-AB11)/AD11)</f>
        <v/>
      </c>
      <c r="AF11" s="5" t="str">
        <f aca="false">IF(B11="","",AA11/Parâmetros!$B$10)</f>
        <v/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5" t="str">
        <f aca="false">IF(B12="","",Parâmetros!$B$16*C12)</f>
        <v/>
      </c>
      <c r="O12" s="5" t="str">
        <f aca="false">IF(B12="","",Parâmetros!$B$17*C12)</f>
        <v/>
      </c>
      <c r="P12" s="5" t="str">
        <f aca="false">IF(B12="","",D12*Parâmetros!$B$18*C12)</f>
        <v/>
      </c>
      <c r="Q12" s="5" t="str">
        <f aca="false">IF(B12="","",E12*Parâmetros!$B$19*C12)</f>
        <v/>
      </c>
      <c r="R12" s="5" t="str">
        <f aca="false">IF(B12="","",F12*Parâmetros!$B$20*C12)</f>
        <v/>
      </c>
      <c r="S12" s="5" t="str">
        <f aca="false">IF(B12="","",(G12*Parâmetros!$B$21+H12*Parâmetros!$B$22)*C12)</f>
        <v/>
      </c>
      <c r="T12" s="5" t="str">
        <f aca="false">IF(B12="","",I12*Parâmetros!$B$23*C12)</f>
        <v/>
      </c>
      <c r="U12" s="5" t="str">
        <f aca="false">IF(B12="","",J12*Parâmetros!$B$24*C12)</f>
        <v/>
      </c>
      <c r="V12" s="5" t="str">
        <f aca="false">IF(B12="","",K12*Parâmetros!$B$25*C12)</f>
        <v/>
      </c>
      <c r="W12" s="5" t="str">
        <f aca="false">IF(B12="","",L12*Parâmetros!$B$26*C12)</f>
        <v/>
      </c>
      <c r="X12" s="5" t="str">
        <f aca="false">IF(B12="","",SUM(N12:W12)+M12)</f>
        <v/>
      </c>
      <c r="Y12" s="5" t="str">
        <f aca="false">IF(B12="","",X12*Parâmetros!$B$8)</f>
        <v/>
      </c>
      <c r="Z12" s="5" t="str">
        <f aca="false">IF(B12="","",X12*Parâmetros!$B$9)</f>
        <v/>
      </c>
      <c r="AA12" s="5" t="str">
        <f aca="false">IF(B12="","",SUM(X12:Z12))</f>
        <v/>
      </c>
      <c r="AB12" s="11" t="str">
        <f aca="false">IF(B12="","",AA12*Parâmetros!$B$5)</f>
        <v/>
      </c>
      <c r="AC12" s="11" t="str">
        <f aca="false">IF(B12="","",AB12/(1-Parâmetros!$B$7))</f>
        <v/>
      </c>
      <c r="AD12" s="11" t="str">
        <f aca="false">IF(B12="","",MAX(AA12*Parâmetros!$B$6,AC12))</f>
        <v/>
      </c>
      <c r="AE12" s="12" t="str">
        <f aca="false">IF(B12="","",(AD12-AB12)/AD12)</f>
        <v/>
      </c>
      <c r="AF12" s="5" t="str">
        <f aca="false">IF(B12="","",AA12/Parâmetros!$B$10)</f>
        <v/>
      </c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5" t="str">
        <f aca="false">IF(B13="","",Parâmetros!$B$16*C13)</f>
        <v/>
      </c>
      <c r="O13" s="5" t="str">
        <f aca="false">IF(B13="","",Parâmetros!$B$17*C13)</f>
        <v/>
      </c>
      <c r="P13" s="5" t="str">
        <f aca="false">IF(B13="","",D13*Parâmetros!$B$18*C13)</f>
        <v/>
      </c>
      <c r="Q13" s="5" t="str">
        <f aca="false">IF(B13="","",E13*Parâmetros!$B$19*C13)</f>
        <v/>
      </c>
      <c r="R13" s="5" t="str">
        <f aca="false">IF(B13="","",F13*Parâmetros!$B$20*C13)</f>
        <v/>
      </c>
      <c r="S13" s="5" t="str">
        <f aca="false">IF(B13="","",(G13*Parâmetros!$B$21+H13*Parâmetros!$B$22)*C13)</f>
        <v/>
      </c>
      <c r="T13" s="5" t="str">
        <f aca="false">IF(B13="","",I13*Parâmetros!$B$23*C13)</f>
        <v/>
      </c>
      <c r="U13" s="5" t="str">
        <f aca="false">IF(B13="","",J13*Parâmetros!$B$24*C13)</f>
        <v/>
      </c>
      <c r="V13" s="5" t="str">
        <f aca="false">IF(B13="","",K13*Parâmetros!$B$25*C13)</f>
        <v/>
      </c>
      <c r="W13" s="5" t="str">
        <f aca="false">IF(B13="","",L13*Parâmetros!$B$26*C13)</f>
        <v/>
      </c>
      <c r="X13" s="5" t="str">
        <f aca="false">IF(B13="","",SUM(N13:W13)+M13)</f>
        <v/>
      </c>
      <c r="Y13" s="5" t="str">
        <f aca="false">IF(B13="","",X13*Parâmetros!$B$8)</f>
        <v/>
      </c>
      <c r="Z13" s="5" t="str">
        <f aca="false">IF(B13="","",X13*Parâmetros!$B$9)</f>
        <v/>
      </c>
      <c r="AA13" s="5" t="str">
        <f aca="false">IF(B13="","",SUM(X13:Z13))</f>
        <v/>
      </c>
      <c r="AB13" s="11" t="str">
        <f aca="false">IF(B13="","",AA13*Parâmetros!$B$5)</f>
        <v/>
      </c>
      <c r="AC13" s="11" t="str">
        <f aca="false">IF(B13="","",AB13/(1-Parâmetros!$B$7))</f>
        <v/>
      </c>
      <c r="AD13" s="11" t="str">
        <f aca="false">IF(B13="","",MAX(AA13*Parâmetros!$B$6,AC13))</f>
        <v/>
      </c>
      <c r="AE13" s="12" t="str">
        <f aca="false">IF(B13="","",(AD13-AB13)/AD13)</f>
        <v/>
      </c>
      <c r="AF13" s="5" t="str">
        <f aca="false">IF(B13="","",AA13/Parâmetros!$B$10)</f>
        <v/>
      </c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5" t="str">
        <f aca="false">IF(B14="","",Parâmetros!$B$16*C14)</f>
        <v/>
      </c>
      <c r="O14" s="5" t="str">
        <f aca="false">IF(B14="","",Parâmetros!$B$17*C14)</f>
        <v/>
      </c>
      <c r="P14" s="5" t="str">
        <f aca="false">IF(B14="","",D14*Parâmetros!$B$18*C14)</f>
        <v/>
      </c>
      <c r="Q14" s="5" t="str">
        <f aca="false">IF(B14="","",E14*Parâmetros!$B$19*C14)</f>
        <v/>
      </c>
      <c r="R14" s="5" t="str">
        <f aca="false">IF(B14="","",F14*Parâmetros!$B$20*C14)</f>
        <v/>
      </c>
      <c r="S14" s="5" t="str">
        <f aca="false">IF(B14="","",(G14*Parâmetros!$B$21+H14*Parâmetros!$B$22)*C14)</f>
        <v/>
      </c>
      <c r="T14" s="5" t="str">
        <f aca="false">IF(B14="","",I14*Parâmetros!$B$23*C14)</f>
        <v/>
      </c>
      <c r="U14" s="5" t="str">
        <f aca="false">IF(B14="","",J14*Parâmetros!$B$24*C14)</f>
        <v/>
      </c>
      <c r="V14" s="5" t="str">
        <f aca="false">IF(B14="","",K14*Parâmetros!$B$25*C14)</f>
        <v/>
      </c>
      <c r="W14" s="5" t="str">
        <f aca="false">IF(B14="","",L14*Parâmetros!$B$26*C14)</f>
        <v/>
      </c>
      <c r="X14" s="5" t="str">
        <f aca="false">IF(B14="","",SUM(N14:W14)+M14)</f>
        <v/>
      </c>
      <c r="Y14" s="5" t="str">
        <f aca="false">IF(B14="","",X14*Parâmetros!$B$8)</f>
        <v/>
      </c>
      <c r="Z14" s="5" t="str">
        <f aca="false">IF(B14="","",X14*Parâmetros!$B$9)</f>
        <v/>
      </c>
      <c r="AA14" s="5" t="str">
        <f aca="false">IF(B14="","",SUM(X14:Z14))</f>
        <v/>
      </c>
      <c r="AB14" s="11" t="str">
        <f aca="false">IF(B14="","",AA14*Parâmetros!$B$5)</f>
        <v/>
      </c>
      <c r="AC14" s="11" t="str">
        <f aca="false">IF(B14="","",AB14/(1-Parâmetros!$B$7))</f>
        <v/>
      </c>
      <c r="AD14" s="11" t="str">
        <f aca="false">IF(B14="","",MAX(AA14*Parâmetros!$B$6,AC14))</f>
        <v/>
      </c>
      <c r="AE14" s="12" t="str">
        <f aca="false">IF(B14="","",(AD14-AB14)/AD14)</f>
        <v/>
      </c>
      <c r="AF14" s="5" t="str">
        <f aca="false">IF(B14="","",AA14/Parâmetros!$B$10)</f>
        <v/>
      </c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5" t="str">
        <f aca="false">IF(B15="","",Parâmetros!$B$16*C15)</f>
        <v/>
      </c>
      <c r="O15" s="5" t="str">
        <f aca="false">IF(B15="","",Parâmetros!$B$17*C15)</f>
        <v/>
      </c>
      <c r="P15" s="5" t="str">
        <f aca="false">IF(B15="","",D15*Parâmetros!$B$18*C15)</f>
        <v/>
      </c>
      <c r="Q15" s="5" t="str">
        <f aca="false">IF(B15="","",E15*Parâmetros!$B$19*C15)</f>
        <v/>
      </c>
      <c r="R15" s="5" t="str">
        <f aca="false">IF(B15="","",F15*Parâmetros!$B$20*C15)</f>
        <v/>
      </c>
      <c r="S15" s="5" t="str">
        <f aca="false">IF(B15="","",(G15*Parâmetros!$B$21+H15*Parâmetros!$B$22)*C15)</f>
        <v/>
      </c>
      <c r="T15" s="5" t="str">
        <f aca="false">IF(B15="","",I15*Parâmetros!$B$23*C15)</f>
        <v/>
      </c>
      <c r="U15" s="5" t="str">
        <f aca="false">IF(B15="","",J15*Parâmetros!$B$24*C15)</f>
        <v/>
      </c>
      <c r="V15" s="5" t="str">
        <f aca="false">IF(B15="","",K15*Parâmetros!$B$25*C15)</f>
        <v/>
      </c>
      <c r="W15" s="5" t="str">
        <f aca="false">IF(B15="","",L15*Parâmetros!$B$26*C15)</f>
        <v/>
      </c>
      <c r="X15" s="5" t="str">
        <f aca="false">IF(B15="","",SUM(N15:W15)+M15)</f>
        <v/>
      </c>
      <c r="Y15" s="5" t="str">
        <f aca="false">IF(B15="","",X15*Parâmetros!$B$8)</f>
        <v/>
      </c>
      <c r="Z15" s="5" t="str">
        <f aca="false">IF(B15="","",X15*Parâmetros!$B$9)</f>
        <v/>
      </c>
      <c r="AA15" s="5" t="str">
        <f aca="false">IF(B15="","",SUM(X15:Z15))</f>
        <v/>
      </c>
      <c r="AB15" s="11" t="str">
        <f aca="false">IF(B15="","",AA15*Parâmetros!$B$5)</f>
        <v/>
      </c>
      <c r="AC15" s="11" t="str">
        <f aca="false">IF(B15="","",AB15/(1-Parâmetros!$B$7))</f>
        <v/>
      </c>
      <c r="AD15" s="11" t="str">
        <f aca="false">IF(B15="","",MAX(AA15*Parâmetros!$B$6,AC15))</f>
        <v/>
      </c>
      <c r="AE15" s="12" t="str">
        <f aca="false">IF(B15="","",(AD15-AB15)/AD15)</f>
        <v/>
      </c>
      <c r="AF15" s="5" t="str">
        <f aca="false">IF(B15="","",AA15/Parâmetros!$B$10)</f>
        <v/>
      </c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5" t="str">
        <f aca="false">IF(B16="","",Parâmetros!$B$16*C16)</f>
        <v/>
      </c>
      <c r="O16" s="5" t="str">
        <f aca="false">IF(B16="","",Parâmetros!$B$17*C16)</f>
        <v/>
      </c>
      <c r="P16" s="5" t="str">
        <f aca="false">IF(B16="","",D16*Parâmetros!$B$18*C16)</f>
        <v/>
      </c>
      <c r="Q16" s="5" t="str">
        <f aca="false">IF(B16="","",E16*Parâmetros!$B$19*C16)</f>
        <v/>
      </c>
      <c r="R16" s="5" t="str">
        <f aca="false">IF(B16="","",F16*Parâmetros!$B$20*C16)</f>
        <v/>
      </c>
      <c r="S16" s="5" t="str">
        <f aca="false">IF(B16="","",(G16*Parâmetros!$B$21+H16*Parâmetros!$B$22)*C16)</f>
        <v/>
      </c>
      <c r="T16" s="5" t="str">
        <f aca="false">IF(B16="","",I16*Parâmetros!$B$23*C16)</f>
        <v/>
      </c>
      <c r="U16" s="5" t="str">
        <f aca="false">IF(B16="","",J16*Parâmetros!$B$24*C16)</f>
        <v/>
      </c>
      <c r="V16" s="5" t="str">
        <f aca="false">IF(B16="","",K16*Parâmetros!$B$25*C16)</f>
        <v/>
      </c>
      <c r="W16" s="5" t="str">
        <f aca="false">IF(B16="","",L16*Parâmetros!$B$26*C16)</f>
        <v/>
      </c>
      <c r="X16" s="5" t="str">
        <f aca="false">IF(B16="","",SUM(N16:W16)+M16)</f>
        <v/>
      </c>
      <c r="Y16" s="5" t="str">
        <f aca="false">IF(B16="","",X16*Parâmetros!$B$8)</f>
        <v/>
      </c>
      <c r="Z16" s="5" t="str">
        <f aca="false">IF(B16="","",X16*Parâmetros!$B$9)</f>
        <v/>
      </c>
      <c r="AA16" s="5" t="str">
        <f aca="false">IF(B16="","",SUM(X16:Z16))</f>
        <v/>
      </c>
      <c r="AB16" s="11" t="str">
        <f aca="false">IF(B16="","",AA16*Parâmetros!$B$5)</f>
        <v/>
      </c>
      <c r="AC16" s="11" t="str">
        <f aca="false">IF(B16="","",AB16/(1-Parâmetros!$B$7))</f>
        <v/>
      </c>
      <c r="AD16" s="11" t="str">
        <f aca="false">IF(B16="","",MAX(AA16*Parâmetros!$B$6,AC16))</f>
        <v/>
      </c>
      <c r="AE16" s="12" t="str">
        <f aca="false">IF(B16="","",(AD16-AB16)/AD16)</f>
        <v/>
      </c>
      <c r="AF16" s="5" t="str">
        <f aca="false">IF(B16="","",AA16/Parâmetros!$B$10)</f>
        <v/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5" t="str">
        <f aca="false">IF(B17="","",Parâmetros!$B$16*C17)</f>
        <v/>
      </c>
      <c r="O17" s="5" t="str">
        <f aca="false">IF(B17="","",Parâmetros!$B$17*C17)</f>
        <v/>
      </c>
      <c r="P17" s="5" t="str">
        <f aca="false">IF(B17="","",D17*Parâmetros!$B$18*C17)</f>
        <v/>
      </c>
      <c r="Q17" s="5" t="str">
        <f aca="false">IF(B17="","",E17*Parâmetros!$B$19*C17)</f>
        <v/>
      </c>
      <c r="R17" s="5" t="str">
        <f aca="false">IF(B17="","",F17*Parâmetros!$B$20*C17)</f>
        <v/>
      </c>
      <c r="S17" s="5" t="str">
        <f aca="false">IF(B17="","",(G17*Parâmetros!$B$21+H17*Parâmetros!$B$22)*C17)</f>
        <v/>
      </c>
      <c r="T17" s="5" t="str">
        <f aca="false">IF(B17="","",I17*Parâmetros!$B$23*C17)</f>
        <v/>
      </c>
      <c r="U17" s="5" t="str">
        <f aca="false">IF(B17="","",J17*Parâmetros!$B$24*C17)</f>
        <v/>
      </c>
      <c r="V17" s="5" t="str">
        <f aca="false">IF(B17="","",K17*Parâmetros!$B$25*C17)</f>
        <v/>
      </c>
      <c r="W17" s="5" t="str">
        <f aca="false">IF(B17="","",L17*Parâmetros!$B$26*C17)</f>
        <v/>
      </c>
      <c r="X17" s="5" t="str">
        <f aca="false">IF(B17="","",SUM(N17:W17)+M17)</f>
        <v/>
      </c>
      <c r="Y17" s="5" t="str">
        <f aca="false">IF(B17="","",X17*Parâmetros!$B$8)</f>
        <v/>
      </c>
      <c r="Z17" s="5" t="str">
        <f aca="false">IF(B17="","",X17*Parâmetros!$B$9)</f>
        <v/>
      </c>
      <c r="AA17" s="5" t="str">
        <f aca="false">IF(B17="","",SUM(X17:Z17))</f>
        <v/>
      </c>
      <c r="AB17" s="11" t="str">
        <f aca="false">IF(B17="","",AA17*Parâmetros!$B$5)</f>
        <v/>
      </c>
      <c r="AC17" s="11" t="str">
        <f aca="false">IF(B17="","",AB17/(1-Parâmetros!$B$7))</f>
        <v/>
      </c>
      <c r="AD17" s="11" t="str">
        <f aca="false">IF(B17="","",MAX(AA17*Parâmetros!$B$6,AC17))</f>
        <v/>
      </c>
      <c r="AE17" s="12" t="str">
        <f aca="false">IF(B17="","",(AD17-AB17)/AD17)</f>
        <v/>
      </c>
      <c r="AF17" s="5" t="str">
        <f aca="false">IF(B17="","",AA17/Parâmetros!$B$10)</f>
        <v/>
      </c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5" t="str">
        <f aca="false">IF(B18="","",Parâmetros!$B$16*C18)</f>
        <v/>
      </c>
      <c r="O18" s="5" t="str">
        <f aca="false">IF(B18="","",Parâmetros!$B$17*C18)</f>
        <v/>
      </c>
      <c r="P18" s="5" t="str">
        <f aca="false">IF(B18="","",D18*Parâmetros!$B$18*C18)</f>
        <v/>
      </c>
      <c r="Q18" s="5" t="str">
        <f aca="false">IF(B18="","",E18*Parâmetros!$B$19*C18)</f>
        <v/>
      </c>
      <c r="R18" s="5" t="str">
        <f aca="false">IF(B18="","",F18*Parâmetros!$B$20*C18)</f>
        <v/>
      </c>
      <c r="S18" s="5" t="str">
        <f aca="false">IF(B18="","",(G18*Parâmetros!$B$21+H18*Parâmetros!$B$22)*C18)</f>
        <v/>
      </c>
      <c r="T18" s="5" t="str">
        <f aca="false">IF(B18="","",I18*Parâmetros!$B$23*C18)</f>
        <v/>
      </c>
      <c r="U18" s="5" t="str">
        <f aca="false">IF(B18="","",J18*Parâmetros!$B$24*C18)</f>
        <v/>
      </c>
      <c r="V18" s="5" t="str">
        <f aca="false">IF(B18="","",K18*Parâmetros!$B$25*C18)</f>
        <v/>
      </c>
      <c r="W18" s="5" t="str">
        <f aca="false">IF(B18="","",L18*Parâmetros!$B$26*C18)</f>
        <v/>
      </c>
      <c r="X18" s="5" t="str">
        <f aca="false">IF(B18="","",SUM(N18:W18)+M18)</f>
        <v/>
      </c>
      <c r="Y18" s="5" t="str">
        <f aca="false">IF(B18="","",X18*Parâmetros!$B$8)</f>
        <v/>
      </c>
      <c r="Z18" s="5" t="str">
        <f aca="false">IF(B18="","",X18*Parâmetros!$B$9)</f>
        <v/>
      </c>
      <c r="AA18" s="5" t="str">
        <f aca="false">IF(B18="","",SUM(X18:Z18))</f>
        <v/>
      </c>
      <c r="AB18" s="11" t="str">
        <f aca="false">IF(B18="","",AA18*Parâmetros!$B$5)</f>
        <v/>
      </c>
      <c r="AC18" s="11" t="str">
        <f aca="false">IF(B18="","",AB18/(1-Parâmetros!$B$7))</f>
        <v/>
      </c>
      <c r="AD18" s="11" t="str">
        <f aca="false">IF(B18="","",MAX(AA18*Parâmetros!$B$6,AC18))</f>
        <v/>
      </c>
      <c r="AE18" s="12" t="str">
        <f aca="false">IF(B18="","",(AD18-AB18)/AD18)</f>
        <v/>
      </c>
      <c r="AF18" s="5" t="str">
        <f aca="false">IF(B18="","",AA18/Parâmetros!$B$10)</f>
        <v/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5" t="str">
        <f aca="false">IF(B19="","",Parâmetros!$B$16*C19)</f>
        <v/>
      </c>
      <c r="O19" s="5" t="str">
        <f aca="false">IF(B19="","",Parâmetros!$B$17*C19)</f>
        <v/>
      </c>
      <c r="P19" s="5" t="str">
        <f aca="false">IF(B19="","",D19*Parâmetros!$B$18*C19)</f>
        <v/>
      </c>
      <c r="Q19" s="5" t="str">
        <f aca="false">IF(B19="","",E19*Parâmetros!$B$19*C19)</f>
        <v/>
      </c>
      <c r="R19" s="5" t="str">
        <f aca="false">IF(B19="","",F19*Parâmetros!$B$20*C19)</f>
        <v/>
      </c>
      <c r="S19" s="5" t="str">
        <f aca="false">IF(B19="","",(G19*Parâmetros!$B$21+H19*Parâmetros!$B$22)*C19)</f>
        <v/>
      </c>
      <c r="T19" s="5" t="str">
        <f aca="false">IF(B19="","",I19*Parâmetros!$B$23*C19)</f>
        <v/>
      </c>
      <c r="U19" s="5" t="str">
        <f aca="false">IF(B19="","",J19*Parâmetros!$B$24*C19)</f>
        <v/>
      </c>
      <c r="V19" s="5" t="str">
        <f aca="false">IF(B19="","",K19*Parâmetros!$B$25*C19)</f>
        <v/>
      </c>
      <c r="W19" s="5" t="str">
        <f aca="false">IF(B19="","",L19*Parâmetros!$B$26*C19)</f>
        <v/>
      </c>
      <c r="X19" s="5" t="str">
        <f aca="false">IF(B19="","",SUM(N19:W19)+M19)</f>
        <v/>
      </c>
      <c r="Y19" s="5" t="str">
        <f aca="false">IF(B19="","",X19*Parâmetros!$B$8)</f>
        <v/>
      </c>
      <c r="Z19" s="5" t="str">
        <f aca="false">IF(B19="","",X19*Parâmetros!$B$9)</f>
        <v/>
      </c>
      <c r="AA19" s="5" t="str">
        <f aca="false">IF(B19="","",SUM(X19:Z19))</f>
        <v/>
      </c>
      <c r="AB19" s="11" t="str">
        <f aca="false">IF(B19="","",AA19*Parâmetros!$B$5)</f>
        <v/>
      </c>
      <c r="AC19" s="11" t="str">
        <f aca="false">IF(B19="","",AB19/(1-Parâmetros!$B$7))</f>
        <v/>
      </c>
      <c r="AD19" s="11" t="str">
        <f aca="false">IF(B19="","",MAX(AA19*Parâmetros!$B$6,AC19))</f>
        <v/>
      </c>
      <c r="AE19" s="12" t="str">
        <f aca="false">IF(B19="","",(AD19-AB19)/AD19)</f>
        <v/>
      </c>
      <c r="AF19" s="5" t="str">
        <f aca="false">IF(B19="","",AA19/Parâmetros!$B$10)</f>
        <v/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5" t="str">
        <f aca="false">IF(B20="","",Parâmetros!$B$16*C20)</f>
        <v/>
      </c>
      <c r="O20" s="5" t="str">
        <f aca="false">IF(B20="","",Parâmetros!$B$17*C20)</f>
        <v/>
      </c>
      <c r="P20" s="5" t="str">
        <f aca="false">IF(B20="","",D20*Parâmetros!$B$18*C20)</f>
        <v/>
      </c>
      <c r="Q20" s="5" t="str">
        <f aca="false">IF(B20="","",E20*Parâmetros!$B$19*C20)</f>
        <v/>
      </c>
      <c r="R20" s="5" t="str">
        <f aca="false">IF(B20="","",F20*Parâmetros!$B$20*C20)</f>
        <v/>
      </c>
      <c r="S20" s="5" t="str">
        <f aca="false">IF(B20="","",(G20*Parâmetros!$B$21+H20*Parâmetros!$B$22)*C20)</f>
        <v/>
      </c>
      <c r="T20" s="5" t="str">
        <f aca="false">IF(B20="","",I20*Parâmetros!$B$23*C20)</f>
        <v/>
      </c>
      <c r="U20" s="5" t="str">
        <f aca="false">IF(B20="","",J20*Parâmetros!$B$24*C20)</f>
        <v/>
      </c>
      <c r="V20" s="5" t="str">
        <f aca="false">IF(B20="","",K20*Parâmetros!$B$25*C20)</f>
        <v/>
      </c>
      <c r="W20" s="5" t="str">
        <f aca="false">IF(B20="","",L20*Parâmetros!$B$26*C20)</f>
        <v/>
      </c>
      <c r="X20" s="5" t="str">
        <f aca="false">IF(B20="","",SUM(N20:W20)+M20)</f>
        <v/>
      </c>
      <c r="Y20" s="5" t="str">
        <f aca="false">IF(B20="","",X20*Parâmetros!$B$8)</f>
        <v/>
      </c>
      <c r="Z20" s="5" t="str">
        <f aca="false">IF(B20="","",X20*Parâmetros!$B$9)</f>
        <v/>
      </c>
      <c r="AA20" s="5" t="str">
        <f aca="false">IF(B20="","",SUM(X20:Z20))</f>
        <v/>
      </c>
      <c r="AB20" s="11" t="str">
        <f aca="false">IF(B20="","",AA20*Parâmetros!$B$5)</f>
        <v/>
      </c>
      <c r="AC20" s="11" t="str">
        <f aca="false">IF(B20="","",AB20/(1-Parâmetros!$B$7))</f>
        <v/>
      </c>
      <c r="AD20" s="11" t="str">
        <f aca="false">IF(B20="","",MAX(AA20*Parâmetros!$B$6,AC20))</f>
        <v/>
      </c>
      <c r="AE20" s="12" t="str">
        <f aca="false">IF(B20="","",(AD20-AB20)/AD20)</f>
        <v/>
      </c>
      <c r="AF20" s="5" t="str">
        <f aca="false">IF(B20="","",AA20/Parâmetros!$B$10)</f>
        <v/>
      </c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5" t="str">
        <f aca="false">IF(B21="","",Parâmetros!$B$16*C21)</f>
        <v/>
      </c>
      <c r="O21" s="5" t="str">
        <f aca="false">IF(B21="","",Parâmetros!$B$17*C21)</f>
        <v/>
      </c>
      <c r="P21" s="5" t="str">
        <f aca="false">IF(B21="","",D21*Parâmetros!$B$18*C21)</f>
        <v/>
      </c>
      <c r="Q21" s="5" t="str">
        <f aca="false">IF(B21="","",E21*Parâmetros!$B$19*C21)</f>
        <v/>
      </c>
      <c r="R21" s="5" t="str">
        <f aca="false">IF(B21="","",F21*Parâmetros!$B$20*C21)</f>
        <v/>
      </c>
      <c r="S21" s="5" t="str">
        <f aca="false">IF(B21="","",(G21*Parâmetros!$B$21+H21*Parâmetros!$B$22)*C21)</f>
        <v/>
      </c>
      <c r="T21" s="5" t="str">
        <f aca="false">IF(B21="","",I21*Parâmetros!$B$23*C21)</f>
        <v/>
      </c>
      <c r="U21" s="5" t="str">
        <f aca="false">IF(B21="","",J21*Parâmetros!$B$24*C21)</f>
        <v/>
      </c>
      <c r="V21" s="5" t="str">
        <f aca="false">IF(B21="","",K21*Parâmetros!$B$25*C21)</f>
        <v/>
      </c>
      <c r="W21" s="5" t="str">
        <f aca="false">IF(B21="","",L21*Parâmetros!$B$26*C21)</f>
        <v/>
      </c>
      <c r="X21" s="5" t="str">
        <f aca="false">IF(B21="","",SUM(N21:W21)+M21)</f>
        <v/>
      </c>
      <c r="Y21" s="5" t="str">
        <f aca="false">IF(B21="","",X21*Parâmetros!$B$8)</f>
        <v/>
      </c>
      <c r="Z21" s="5" t="str">
        <f aca="false">IF(B21="","",X21*Parâmetros!$B$9)</f>
        <v/>
      </c>
      <c r="AA21" s="5" t="str">
        <f aca="false">IF(B21="","",SUM(X21:Z21))</f>
        <v/>
      </c>
      <c r="AB21" s="11" t="str">
        <f aca="false">IF(B21="","",AA21*Parâmetros!$B$5)</f>
        <v/>
      </c>
      <c r="AC21" s="11" t="str">
        <f aca="false">IF(B21="","",AB21/(1-Parâmetros!$B$7))</f>
        <v/>
      </c>
      <c r="AD21" s="11" t="str">
        <f aca="false">IF(B21="","",MAX(AA21*Parâmetros!$B$6,AC21))</f>
        <v/>
      </c>
      <c r="AE21" s="12" t="str">
        <f aca="false">IF(B21="","",(AD21-AB21)/AD21)</f>
        <v/>
      </c>
      <c r="AF21" s="5" t="str">
        <f aca="false">IF(B21="","",AA21/Parâmetros!$B$10)</f>
        <v/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 t="str">
        <f aca="false">IF(B22="","",Parâmetros!$B$16*C22)</f>
        <v/>
      </c>
      <c r="O22" s="5" t="str">
        <f aca="false">IF(B22="","",Parâmetros!$B$17*C22)</f>
        <v/>
      </c>
      <c r="P22" s="5" t="str">
        <f aca="false">IF(B22="","",D22*Parâmetros!$B$18*C22)</f>
        <v/>
      </c>
      <c r="Q22" s="5" t="str">
        <f aca="false">IF(B22="","",E22*Parâmetros!$B$19*C22)</f>
        <v/>
      </c>
      <c r="R22" s="5" t="str">
        <f aca="false">IF(B22="","",F22*Parâmetros!$B$20*C22)</f>
        <v/>
      </c>
      <c r="S22" s="5" t="str">
        <f aca="false">IF(B22="","",(G22*Parâmetros!$B$21+H22*Parâmetros!$B$22)*C22)</f>
        <v/>
      </c>
      <c r="T22" s="5" t="str">
        <f aca="false">IF(B22="","",I22*Parâmetros!$B$23*C22)</f>
        <v/>
      </c>
      <c r="U22" s="5" t="str">
        <f aca="false">IF(B22="","",J22*Parâmetros!$B$24*C22)</f>
        <v/>
      </c>
      <c r="V22" s="5" t="str">
        <f aca="false">IF(B22="","",K22*Parâmetros!$B$25*C22)</f>
        <v/>
      </c>
      <c r="W22" s="5" t="str">
        <f aca="false">IF(B22="","",L22*Parâmetros!$B$26*C22)</f>
        <v/>
      </c>
      <c r="X22" s="5" t="str">
        <f aca="false">IF(B22="","",SUM(N22:W22)+M22)</f>
        <v/>
      </c>
      <c r="Y22" s="5" t="str">
        <f aca="false">IF(B22="","",X22*Parâmetros!$B$8)</f>
        <v/>
      </c>
      <c r="Z22" s="5" t="str">
        <f aca="false">IF(B22="","",X22*Parâmetros!$B$9)</f>
        <v/>
      </c>
      <c r="AA22" s="5" t="str">
        <f aca="false">IF(B22="","",SUM(X22:Z22))</f>
        <v/>
      </c>
      <c r="AB22" s="11" t="str">
        <f aca="false">IF(B22="","",AA22*Parâmetros!$B$5)</f>
        <v/>
      </c>
      <c r="AC22" s="11" t="str">
        <f aca="false">IF(B22="","",AB22/(1-Parâmetros!$B$7))</f>
        <v/>
      </c>
      <c r="AD22" s="11" t="str">
        <f aca="false">IF(B22="","",MAX(AA22*Parâmetros!$B$6,AC22))</f>
        <v/>
      </c>
      <c r="AE22" s="12" t="str">
        <f aca="false">IF(B22="","",(AD22-AB22)/AD22)</f>
        <v/>
      </c>
      <c r="AF22" s="5" t="str">
        <f aca="false">IF(B22="","",AA22/Parâmetros!$B$10)</f>
        <v/>
      </c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5" t="str">
        <f aca="false">IF(B23="","",Parâmetros!$B$16*C23)</f>
        <v/>
      </c>
      <c r="O23" s="5" t="str">
        <f aca="false">IF(B23="","",Parâmetros!$B$17*C23)</f>
        <v/>
      </c>
      <c r="P23" s="5" t="str">
        <f aca="false">IF(B23="","",D23*Parâmetros!$B$18*C23)</f>
        <v/>
      </c>
      <c r="Q23" s="5" t="str">
        <f aca="false">IF(B23="","",E23*Parâmetros!$B$19*C23)</f>
        <v/>
      </c>
      <c r="R23" s="5" t="str">
        <f aca="false">IF(B23="","",F23*Parâmetros!$B$20*C23)</f>
        <v/>
      </c>
      <c r="S23" s="5" t="str">
        <f aca="false">IF(B23="","",(G23*Parâmetros!$B$21+H23*Parâmetros!$B$22)*C23)</f>
        <v/>
      </c>
      <c r="T23" s="5" t="str">
        <f aca="false">IF(B23="","",I23*Parâmetros!$B$23*C23)</f>
        <v/>
      </c>
      <c r="U23" s="5" t="str">
        <f aca="false">IF(B23="","",J23*Parâmetros!$B$24*C23)</f>
        <v/>
      </c>
      <c r="V23" s="5" t="str">
        <f aca="false">IF(B23="","",K23*Parâmetros!$B$25*C23)</f>
        <v/>
      </c>
      <c r="W23" s="5" t="str">
        <f aca="false">IF(B23="","",L23*Parâmetros!$B$26*C23)</f>
        <v/>
      </c>
      <c r="X23" s="5" t="str">
        <f aca="false">IF(B23="","",SUM(N23:W23)+M23)</f>
        <v/>
      </c>
      <c r="Y23" s="5" t="str">
        <f aca="false">IF(B23="","",X23*Parâmetros!$B$8)</f>
        <v/>
      </c>
      <c r="Z23" s="5" t="str">
        <f aca="false">IF(B23="","",X23*Parâmetros!$B$9)</f>
        <v/>
      </c>
      <c r="AA23" s="5" t="str">
        <f aca="false">IF(B23="","",SUM(X23:Z23))</f>
        <v/>
      </c>
      <c r="AB23" s="11" t="str">
        <f aca="false">IF(B23="","",AA23*Parâmetros!$B$5)</f>
        <v/>
      </c>
      <c r="AC23" s="11" t="str">
        <f aca="false">IF(B23="","",AB23/(1-Parâmetros!$B$7))</f>
        <v/>
      </c>
      <c r="AD23" s="11" t="str">
        <f aca="false">IF(B23="","",MAX(AA23*Parâmetros!$B$6,AC23))</f>
        <v/>
      </c>
      <c r="AE23" s="12" t="str">
        <f aca="false">IF(B23="","",(AD23-AB23)/AD23)</f>
        <v/>
      </c>
      <c r="AF23" s="5" t="str">
        <f aca="false">IF(B23="","",AA23/Parâmetros!$B$10)</f>
        <v/>
      </c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5" t="str">
        <f aca="false">IF(B24="","",Parâmetros!$B$16*C24)</f>
        <v/>
      </c>
      <c r="O24" s="5" t="str">
        <f aca="false">IF(B24="","",Parâmetros!$B$17*C24)</f>
        <v/>
      </c>
      <c r="P24" s="5" t="str">
        <f aca="false">IF(B24="","",D24*Parâmetros!$B$18*C24)</f>
        <v/>
      </c>
      <c r="Q24" s="5" t="str">
        <f aca="false">IF(B24="","",E24*Parâmetros!$B$19*C24)</f>
        <v/>
      </c>
      <c r="R24" s="5" t="str">
        <f aca="false">IF(B24="","",F24*Parâmetros!$B$20*C24)</f>
        <v/>
      </c>
      <c r="S24" s="5" t="str">
        <f aca="false">IF(B24="","",(G24*Parâmetros!$B$21+H24*Parâmetros!$B$22)*C24)</f>
        <v/>
      </c>
      <c r="T24" s="5" t="str">
        <f aca="false">IF(B24="","",I24*Parâmetros!$B$23*C24)</f>
        <v/>
      </c>
      <c r="U24" s="5" t="str">
        <f aca="false">IF(B24="","",J24*Parâmetros!$B$24*C24)</f>
        <v/>
      </c>
      <c r="V24" s="5" t="str">
        <f aca="false">IF(B24="","",K24*Parâmetros!$B$25*C24)</f>
        <v/>
      </c>
      <c r="W24" s="5" t="str">
        <f aca="false">IF(B24="","",L24*Parâmetros!$B$26*C24)</f>
        <v/>
      </c>
      <c r="X24" s="5" t="str">
        <f aca="false">IF(B24="","",SUM(N24:W24)+M24)</f>
        <v/>
      </c>
      <c r="Y24" s="5" t="str">
        <f aca="false">IF(B24="","",X24*Parâmetros!$B$8)</f>
        <v/>
      </c>
      <c r="Z24" s="5" t="str">
        <f aca="false">IF(B24="","",X24*Parâmetros!$B$9)</f>
        <v/>
      </c>
      <c r="AA24" s="5" t="str">
        <f aca="false">IF(B24="","",SUM(X24:Z24))</f>
        <v/>
      </c>
      <c r="AB24" s="11" t="str">
        <f aca="false">IF(B24="","",AA24*Parâmetros!$B$5)</f>
        <v/>
      </c>
      <c r="AC24" s="11" t="str">
        <f aca="false">IF(B24="","",AB24/(1-Parâmetros!$B$7))</f>
        <v/>
      </c>
      <c r="AD24" s="11" t="str">
        <f aca="false">IF(B24="","",MAX(AA24*Parâmetros!$B$6,AC24))</f>
        <v/>
      </c>
      <c r="AE24" s="12" t="str">
        <f aca="false">IF(B24="","",(AD24-AB24)/AD24)</f>
        <v/>
      </c>
      <c r="AF24" s="5" t="str">
        <f aca="false">IF(B24="","",AA24/Parâmetros!$B$10)</f>
        <v/>
      </c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5" t="str">
        <f aca="false">IF(B25="","",Parâmetros!$B$16*C25)</f>
        <v/>
      </c>
      <c r="O25" s="5" t="str">
        <f aca="false">IF(B25="","",Parâmetros!$B$17*C25)</f>
        <v/>
      </c>
      <c r="P25" s="5" t="str">
        <f aca="false">IF(B25="","",D25*Parâmetros!$B$18*C25)</f>
        <v/>
      </c>
      <c r="Q25" s="5" t="str">
        <f aca="false">IF(B25="","",E25*Parâmetros!$B$19*C25)</f>
        <v/>
      </c>
      <c r="R25" s="5" t="str">
        <f aca="false">IF(B25="","",F25*Parâmetros!$B$20*C25)</f>
        <v/>
      </c>
      <c r="S25" s="5" t="str">
        <f aca="false">IF(B25="","",(G25*Parâmetros!$B$21+H25*Parâmetros!$B$22)*C25)</f>
        <v/>
      </c>
      <c r="T25" s="5" t="str">
        <f aca="false">IF(B25="","",I25*Parâmetros!$B$23*C25)</f>
        <v/>
      </c>
      <c r="U25" s="5" t="str">
        <f aca="false">IF(B25="","",J25*Parâmetros!$B$24*C25)</f>
        <v/>
      </c>
      <c r="V25" s="5" t="str">
        <f aca="false">IF(B25="","",K25*Parâmetros!$B$25*C25)</f>
        <v/>
      </c>
      <c r="W25" s="5" t="str">
        <f aca="false">IF(B25="","",L25*Parâmetros!$B$26*C25)</f>
        <v/>
      </c>
      <c r="X25" s="5" t="str">
        <f aca="false">IF(B25="","",SUM(N25:W25)+M25)</f>
        <v/>
      </c>
      <c r="Y25" s="5" t="str">
        <f aca="false">IF(B25="","",X25*Parâmetros!$B$8)</f>
        <v/>
      </c>
      <c r="Z25" s="5" t="str">
        <f aca="false">IF(B25="","",X25*Parâmetros!$B$9)</f>
        <v/>
      </c>
      <c r="AA25" s="5" t="str">
        <f aca="false">IF(B25="","",SUM(X25:Z25))</f>
        <v/>
      </c>
      <c r="AB25" s="11" t="str">
        <f aca="false">IF(B25="","",AA25*Parâmetros!$B$5)</f>
        <v/>
      </c>
      <c r="AC25" s="11" t="str">
        <f aca="false">IF(B25="","",AB25/(1-Parâmetros!$B$7))</f>
        <v/>
      </c>
      <c r="AD25" s="11" t="str">
        <f aca="false">IF(B25="","",MAX(AA25*Parâmetros!$B$6,AC25))</f>
        <v/>
      </c>
      <c r="AE25" s="12" t="str">
        <f aca="false">IF(B25="","",(AD25-AB25)/AD25)</f>
        <v/>
      </c>
      <c r="AF25" s="5" t="str">
        <f aca="false">IF(B25="","",AA25/Parâmetros!$B$10)</f>
        <v/>
      </c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5" t="str">
        <f aca="false">IF(B26="","",Parâmetros!$B$16*C26)</f>
        <v/>
      </c>
      <c r="O26" s="5" t="str">
        <f aca="false">IF(B26="","",Parâmetros!$B$17*C26)</f>
        <v/>
      </c>
      <c r="P26" s="5" t="str">
        <f aca="false">IF(B26="","",D26*Parâmetros!$B$18*C26)</f>
        <v/>
      </c>
      <c r="Q26" s="5" t="str">
        <f aca="false">IF(B26="","",E26*Parâmetros!$B$19*C26)</f>
        <v/>
      </c>
      <c r="R26" s="5" t="str">
        <f aca="false">IF(B26="","",F26*Parâmetros!$B$20*C26)</f>
        <v/>
      </c>
      <c r="S26" s="5" t="str">
        <f aca="false">IF(B26="","",(G26*Parâmetros!$B$21+H26*Parâmetros!$B$22)*C26)</f>
        <v/>
      </c>
      <c r="T26" s="5" t="str">
        <f aca="false">IF(B26="","",I26*Parâmetros!$B$23*C26)</f>
        <v/>
      </c>
      <c r="U26" s="5" t="str">
        <f aca="false">IF(B26="","",J26*Parâmetros!$B$24*C26)</f>
        <v/>
      </c>
      <c r="V26" s="5" t="str">
        <f aca="false">IF(B26="","",K26*Parâmetros!$B$25*C26)</f>
        <v/>
      </c>
      <c r="W26" s="5" t="str">
        <f aca="false">IF(B26="","",L26*Parâmetros!$B$26*C26)</f>
        <v/>
      </c>
      <c r="X26" s="5" t="str">
        <f aca="false">IF(B26="","",SUM(N26:W26)+M26)</f>
        <v/>
      </c>
      <c r="Y26" s="5" t="str">
        <f aca="false">IF(B26="","",X26*Parâmetros!$B$8)</f>
        <v/>
      </c>
      <c r="Z26" s="5" t="str">
        <f aca="false">IF(B26="","",X26*Parâmetros!$B$9)</f>
        <v/>
      </c>
      <c r="AA26" s="5" t="str">
        <f aca="false">IF(B26="","",SUM(X26:Z26))</f>
        <v/>
      </c>
      <c r="AB26" s="11" t="str">
        <f aca="false">IF(B26="","",AA26*Parâmetros!$B$5)</f>
        <v/>
      </c>
      <c r="AC26" s="11" t="str">
        <f aca="false">IF(B26="","",AB26/(1-Parâmetros!$B$7))</f>
        <v/>
      </c>
      <c r="AD26" s="11" t="str">
        <f aca="false">IF(B26="","",MAX(AA26*Parâmetros!$B$6,AC26))</f>
        <v/>
      </c>
      <c r="AE26" s="12" t="str">
        <f aca="false">IF(B26="","",(AD26-AB26)/AD26)</f>
        <v/>
      </c>
      <c r="AF26" s="5" t="str">
        <f aca="false">IF(B26="","",AA26/Parâmetros!$B$10)</f>
        <v/>
      </c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5" t="str">
        <f aca="false">IF(B27="","",Parâmetros!$B$16*C27)</f>
        <v/>
      </c>
      <c r="O27" s="5" t="str">
        <f aca="false">IF(B27="","",Parâmetros!$B$17*C27)</f>
        <v/>
      </c>
      <c r="P27" s="5" t="str">
        <f aca="false">IF(B27="","",D27*Parâmetros!$B$18*C27)</f>
        <v/>
      </c>
      <c r="Q27" s="5" t="str">
        <f aca="false">IF(B27="","",E27*Parâmetros!$B$19*C27)</f>
        <v/>
      </c>
      <c r="R27" s="5" t="str">
        <f aca="false">IF(B27="","",F27*Parâmetros!$B$20*C27)</f>
        <v/>
      </c>
      <c r="S27" s="5" t="str">
        <f aca="false">IF(B27="","",(G27*Parâmetros!$B$21+H27*Parâmetros!$B$22)*C27)</f>
        <v/>
      </c>
      <c r="T27" s="5" t="str">
        <f aca="false">IF(B27="","",I27*Parâmetros!$B$23*C27)</f>
        <v/>
      </c>
      <c r="U27" s="5" t="str">
        <f aca="false">IF(B27="","",J27*Parâmetros!$B$24*C27)</f>
        <v/>
      </c>
      <c r="V27" s="5" t="str">
        <f aca="false">IF(B27="","",K27*Parâmetros!$B$25*C27)</f>
        <v/>
      </c>
      <c r="W27" s="5" t="str">
        <f aca="false">IF(B27="","",L27*Parâmetros!$B$26*C27)</f>
        <v/>
      </c>
      <c r="X27" s="5" t="str">
        <f aca="false">IF(B27="","",SUM(N27:W27)+M27)</f>
        <v/>
      </c>
      <c r="Y27" s="5" t="str">
        <f aca="false">IF(B27="","",X27*Parâmetros!$B$8)</f>
        <v/>
      </c>
      <c r="Z27" s="5" t="str">
        <f aca="false">IF(B27="","",X27*Parâmetros!$B$9)</f>
        <v/>
      </c>
      <c r="AA27" s="5" t="str">
        <f aca="false">IF(B27="","",SUM(X27:Z27))</f>
        <v/>
      </c>
      <c r="AB27" s="11" t="str">
        <f aca="false">IF(B27="","",AA27*Parâmetros!$B$5)</f>
        <v/>
      </c>
      <c r="AC27" s="11" t="str">
        <f aca="false">IF(B27="","",AB27/(1-Parâmetros!$B$7))</f>
        <v/>
      </c>
      <c r="AD27" s="11" t="str">
        <f aca="false">IF(B27="","",MAX(AA27*Parâmetros!$B$6,AC27))</f>
        <v/>
      </c>
      <c r="AE27" s="12" t="str">
        <f aca="false">IF(B27="","",(AD27-AB27)/AD27)</f>
        <v/>
      </c>
      <c r="AF27" s="5" t="str">
        <f aca="false">IF(B27="","",AA27/Parâmetros!$B$10)</f>
        <v/>
      </c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5" t="str">
        <f aca="false">IF(B28="","",Parâmetros!$B$16*C28)</f>
        <v/>
      </c>
      <c r="O28" s="5" t="str">
        <f aca="false">IF(B28="","",Parâmetros!$B$17*C28)</f>
        <v/>
      </c>
      <c r="P28" s="5" t="str">
        <f aca="false">IF(B28="","",D28*Parâmetros!$B$18*C28)</f>
        <v/>
      </c>
      <c r="Q28" s="5" t="str">
        <f aca="false">IF(B28="","",E28*Parâmetros!$B$19*C28)</f>
        <v/>
      </c>
      <c r="R28" s="5" t="str">
        <f aca="false">IF(B28="","",F28*Parâmetros!$B$20*C28)</f>
        <v/>
      </c>
      <c r="S28" s="5" t="str">
        <f aca="false">IF(B28="","",(G28*Parâmetros!$B$21+H28*Parâmetros!$B$22)*C28)</f>
        <v/>
      </c>
      <c r="T28" s="5" t="str">
        <f aca="false">IF(B28="","",I28*Parâmetros!$B$23*C28)</f>
        <v/>
      </c>
      <c r="U28" s="5" t="str">
        <f aca="false">IF(B28="","",J28*Parâmetros!$B$24*C28)</f>
        <v/>
      </c>
      <c r="V28" s="5" t="str">
        <f aca="false">IF(B28="","",K28*Parâmetros!$B$25*C28)</f>
        <v/>
      </c>
      <c r="W28" s="5" t="str">
        <f aca="false">IF(B28="","",L28*Parâmetros!$B$26*C28)</f>
        <v/>
      </c>
      <c r="X28" s="5" t="str">
        <f aca="false">IF(B28="","",SUM(N28:W28)+M28)</f>
        <v/>
      </c>
      <c r="Y28" s="5" t="str">
        <f aca="false">IF(B28="","",X28*Parâmetros!$B$8)</f>
        <v/>
      </c>
      <c r="Z28" s="5" t="str">
        <f aca="false">IF(B28="","",X28*Parâmetros!$B$9)</f>
        <v/>
      </c>
      <c r="AA28" s="5" t="str">
        <f aca="false">IF(B28="","",SUM(X28:Z28))</f>
        <v/>
      </c>
      <c r="AB28" s="11" t="str">
        <f aca="false">IF(B28="","",AA28*Parâmetros!$B$5)</f>
        <v/>
      </c>
      <c r="AC28" s="11" t="str">
        <f aca="false">IF(B28="","",AB28/(1-Parâmetros!$B$7))</f>
        <v/>
      </c>
      <c r="AD28" s="11" t="str">
        <f aca="false">IF(B28="","",MAX(AA28*Parâmetros!$B$6,AC28))</f>
        <v/>
      </c>
      <c r="AE28" s="12" t="str">
        <f aca="false">IF(B28="","",(AD28-AB28)/AD28)</f>
        <v/>
      </c>
      <c r="AF28" s="5" t="str">
        <f aca="false">IF(B28="","",AA28/Parâmetros!$B$10)</f>
        <v/>
      </c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5" t="str">
        <f aca="false">IF(B29="","",Parâmetros!$B$16*C29)</f>
        <v/>
      </c>
      <c r="O29" s="5" t="str">
        <f aca="false">IF(B29="","",Parâmetros!$B$17*C29)</f>
        <v/>
      </c>
      <c r="P29" s="5" t="str">
        <f aca="false">IF(B29="","",D29*Parâmetros!$B$18*C29)</f>
        <v/>
      </c>
      <c r="Q29" s="5" t="str">
        <f aca="false">IF(B29="","",E29*Parâmetros!$B$19*C29)</f>
        <v/>
      </c>
      <c r="R29" s="5" t="str">
        <f aca="false">IF(B29="","",F29*Parâmetros!$B$20*C29)</f>
        <v/>
      </c>
      <c r="S29" s="5" t="str">
        <f aca="false">IF(B29="","",(G29*Parâmetros!$B$21+H29*Parâmetros!$B$22)*C29)</f>
        <v/>
      </c>
      <c r="T29" s="5" t="str">
        <f aca="false">IF(B29="","",I29*Parâmetros!$B$23*C29)</f>
        <v/>
      </c>
      <c r="U29" s="5" t="str">
        <f aca="false">IF(B29="","",J29*Parâmetros!$B$24*C29)</f>
        <v/>
      </c>
      <c r="V29" s="5" t="str">
        <f aca="false">IF(B29="","",K29*Parâmetros!$B$25*C29)</f>
        <v/>
      </c>
      <c r="W29" s="5" t="str">
        <f aca="false">IF(B29="","",L29*Parâmetros!$B$26*C29)</f>
        <v/>
      </c>
      <c r="X29" s="5" t="str">
        <f aca="false">IF(B29="","",SUM(N29:W29)+M29)</f>
        <v/>
      </c>
      <c r="Y29" s="5" t="str">
        <f aca="false">IF(B29="","",X29*Parâmetros!$B$8)</f>
        <v/>
      </c>
      <c r="Z29" s="5" t="str">
        <f aca="false">IF(B29="","",X29*Parâmetros!$B$9)</f>
        <v/>
      </c>
      <c r="AA29" s="5" t="str">
        <f aca="false">IF(B29="","",SUM(X29:Z29))</f>
        <v/>
      </c>
      <c r="AB29" s="11" t="str">
        <f aca="false">IF(B29="","",AA29*Parâmetros!$B$5)</f>
        <v/>
      </c>
      <c r="AC29" s="11" t="str">
        <f aca="false">IF(B29="","",AB29/(1-Parâmetros!$B$7))</f>
        <v/>
      </c>
      <c r="AD29" s="11" t="str">
        <f aca="false">IF(B29="","",MAX(AA29*Parâmetros!$B$6,AC29))</f>
        <v/>
      </c>
      <c r="AE29" s="12" t="str">
        <f aca="false">IF(B29="","",(AD29-AB29)/AD29)</f>
        <v/>
      </c>
      <c r="AF29" s="5" t="str">
        <f aca="false">IF(B29="","",AA29/Parâmetros!$B$10)</f>
        <v/>
      </c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5" t="str">
        <f aca="false">IF(B30="","",Parâmetros!$B$16*C30)</f>
        <v/>
      </c>
      <c r="O30" s="5" t="str">
        <f aca="false">IF(B30="","",Parâmetros!$B$17*C30)</f>
        <v/>
      </c>
      <c r="P30" s="5" t="str">
        <f aca="false">IF(B30="","",D30*Parâmetros!$B$18*C30)</f>
        <v/>
      </c>
      <c r="Q30" s="5" t="str">
        <f aca="false">IF(B30="","",E30*Parâmetros!$B$19*C30)</f>
        <v/>
      </c>
      <c r="R30" s="5" t="str">
        <f aca="false">IF(B30="","",F30*Parâmetros!$B$20*C30)</f>
        <v/>
      </c>
      <c r="S30" s="5" t="str">
        <f aca="false">IF(B30="","",(G30*Parâmetros!$B$21+H30*Parâmetros!$B$22)*C30)</f>
        <v/>
      </c>
      <c r="T30" s="5" t="str">
        <f aca="false">IF(B30="","",I30*Parâmetros!$B$23*C30)</f>
        <v/>
      </c>
      <c r="U30" s="5" t="str">
        <f aca="false">IF(B30="","",J30*Parâmetros!$B$24*C30)</f>
        <v/>
      </c>
      <c r="V30" s="5" t="str">
        <f aca="false">IF(B30="","",K30*Parâmetros!$B$25*C30)</f>
        <v/>
      </c>
      <c r="W30" s="5" t="str">
        <f aca="false">IF(B30="","",L30*Parâmetros!$B$26*C30)</f>
        <v/>
      </c>
      <c r="X30" s="5" t="str">
        <f aca="false">IF(B30="","",SUM(N30:W30)+M30)</f>
        <v/>
      </c>
      <c r="Y30" s="5" t="str">
        <f aca="false">IF(B30="","",X30*Parâmetros!$B$8)</f>
        <v/>
      </c>
      <c r="Z30" s="5" t="str">
        <f aca="false">IF(B30="","",X30*Parâmetros!$B$9)</f>
        <v/>
      </c>
      <c r="AA30" s="5" t="str">
        <f aca="false">IF(B30="","",SUM(X30:Z30))</f>
        <v/>
      </c>
      <c r="AB30" s="11" t="str">
        <f aca="false">IF(B30="","",AA30*Parâmetros!$B$5)</f>
        <v/>
      </c>
      <c r="AC30" s="11" t="str">
        <f aca="false">IF(B30="","",AB30/(1-Parâmetros!$B$7))</f>
        <v/>
      </c>
      <c r="AD30" s="11" t="str">
        <f aca="false">IF(B30="","",MAX(AA30*Parâmetros!$B$6,AC30))</f>
        <v/>
      </c>
      <c r="AE30" s="12" t="str">
        <f aca="false">IF(B30="","",(AD30-AB30)/AD30)</f>
        <v/>
      </c>
      <c r="AF30" s="5" t="str">
        <f aca="false">IF(B30="","",AA30/Parâmetros!$B$10)</f>
        <v/>
      </c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5" t="str">
        <f aca="false">IF(B31="","",Parâmetros!$B$16*C31)</f>
        <v/>
      </c>
      <c r="O31" s="5" t="str">
        <f aca="false">IF(B31="","",Parâmetros!$B$17*C31)</f>
        <v/>
      </c>
      <c r="P31" s="5" t="str">
        <f aca="false">IF(B31="","",D31*Parâmetros!$B$18*C31)</f>
        <v/>
      </c>
      <c r="Q31" s="5" t="str">
        <f aca="false">IF(B31="","",E31*Parâmetros!$B$19*C31)</f>
        <v/>
      </c>
      <c r="R31" s="5" t="str">
        <f aca="false">IF(B31="","",F31*Parâmetros!$B$20*C31)</f>
        <v/>
      </c>
      <c r="S31" s="5" t="str">
        <f aca="false">IF(B31="","",(G31*Parâmetros!$B$21+H31*Parâmetros!$B$22)*C31)</f>
        <v/>
      </c>
      <c r="T31" s="5" t="str">
        <f aca="false">IF(B31="","",I31*Parâmetros!$B$23*C31)</f>
        <v/>
      </c>
      <c r="U31" s="5" t="str">
        <f aca="false">IF(B31="","",J31*Parâmetros!$B$24*C31)</f>
        <v/>
      </c>
      <c r="V31" s="5" t="str">
        <f aca="false">IF(B31="","",K31*Parâmetros!$B$25*C31)</f>
        <v/>
      </c>
      <c r="W31" s="5" t="str">
        <f aca="false">IF(B31="","",L31*Parâmetros!$B$26*C31)</f>
        <v/>
      </c>
      <c r="X31" s="5" t="str">
        <f aca="false">IF(B31="","",SUM(N31:W31)+M31)</f>
        <v/>
      </c>
      <c r="Y31" s="5" t="str">
        <f aca="false">IF(B31="","",X31*Parâmetros!$B$8)</f>
        <v/>
      </c>
      <c r="Z31" s="5" t="str">
        <f aca="false">IF(B31="","",X31*Parâmetros!$B$9)</f>
        <v/>
      </c>
      <c r="AA31" s="5" t="str">
        <f aca="false">IF(B31="","",SUM(X31:Z31))</f>
        <v/>
      </c>
      <c r="AB31" s="11" t="str">
        <f aca="false">IF(B31="","",AA31*Parâmetros!$B$5)</f>
        <v/>
      </c>
      <c r="AC31" s="11" t="str">
        <f aca="false">IF(B31="","",AB31/(1-Parâmetros!$B$7))</f>
        <v/>
      </c>
      <c r="AD31" s="11" t="str">
        <f aca="false">IF(B31="","",MAX(AA31*Parâmetros!$B$6,AC31))</f>
        <v/>
      </c>
      <c r="AE31" s="12" t="str">
        <f aca="false">IF(B31="","",(AD31-AB31)/AD31)</f>
        <v/>
      </c>
      <c r="AF31" s="5" t="str">
        <f aca="false">IF(B31="","",AA31/Parâmetros!$B$10)</f>
        <v/>
      </c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5" t="str">
        <f aca="false">IF(B32="","",Parâmetros!$B$16*C32)</f>
        <v/>
      </c>
      <c r="O32" s="5" t="str">
        <f aca="false">IF(B32="","",Parâmetros!$B$17*C32)</f>
        <v/>
      </c>
      <c r="P32" s="5" t="str">
        <f aca="false">IF(B32="","",D32*Parâmetros!$B$18*C32)</f>
        <v/>
      </c>
      <c r="Q32" s="5" t="str">
        <f aca="false">IF(B32="","",E32*Parâmetros!$B$19*C32)</f>
        <v/>
      </c>
      <c r="R32" s="5" t="str">
        <f aca="false">IF(B32="","",F32*Parâmetros!$B$20*C32)</f>
        <v/>
      </c>
      <c r="S32" s="5" t="str">
        <f aca="false">IF(B32="","",(G32*Parâmetros!$B$21+H32*Parâmetros!$B$22)*C32)</f>
        <v/>
      </c>
      <c r="T32" s="5" t="str">
        <f aca="false">IF(B32="","",I32*Parâmetros!$B$23*C32)</f>
        <v/>
      </c>
      <c r="U32" s="5" t="str">
        <f aca="false">IF(B32="","",J32*Parâmetros!$B$24*C32)</f>
        <v/>
      </c>
      <c r="V32" s="5" t="str">
        <f aca="false">IF(B32="","",K32*Parâmetros!$B$25*C32)</f>
        <v/>
      </c>
      <c r="W32" s="5" t="str">
        <f aca="false">IF(B32="","",L32*Parâmetros!$B$26*C32)</f>
        <v/>
      </c>
      <c r="X32" s="5" t="str">
        <f aca="false">IF(B32="","",SUM(N32:W32)+M32)</f>
        <v/>
      </c>
      <c r="Y32" s="5" t="str">
        <f aca="false">IF(B32="","",X32*Parâmetros!$B$8)</f>
        <v/>
      </c>
      <c r="Z32" s="5" t="str">
        <f aca="false">IF(B32="","",X32*Parâmetros!$B$9)</f>
        <v/>
      </c>
      <c r="AA32" s="5" t="str">
        <f aca="false">IF(B32="","",SUM(X32:Z32))</f>
        <v/>
      </c>
      <c r="AB32" s="11" t="str">
        <f aca="false">IF(B32="","",AA32*Parâmetros!$B$5)</f>
        <v/>
      </c>
      <c r="AC32" s="11" t="str">
        <f aca="false">IF(B32="","",AB32/(1-Parâmetros!$B$7))</f>
        <v/>
      </c>
      <c r="AD32" s="11" t="str">
        <f aca="false">IF(B32="","",MAX(AA32*Parâmetros!$B$6,AC32))</f>
        <v/>
      </c>
      <c r="AE32" s="12" t="str">
        <f aca="false">IF(B32="","",(AD32-AB32)/AD32)</f>
        <v/>
      </c>
      <c r="AF32" s="5" t="str">
        <f aca="false">IF(B32="","",AA32/Parâmetros!$B$10)</f>
        <v/>
      </c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5" t="str">
        <f aca="false">IF(B33="","",Parâmetros!$B$16*C33)</f>
        <v/>
      </c>
      <c r="O33" s="5" t="str">
        <f aca="false">IF(B33="","",Parâmetros!$B$17*C33)</f>
        <v/>
      </c>
      <c r="P33" s="5" t="str">
        <f aca="false">IF(B33="","",D33*Parâmetros!$B$18*C33)</f>
        <v/>
      </c>
      <c r="Q33" s="5" t="str">
        <f aca="false">IF(B33="","",E33*Parâmetros!$B$19*C33)</f>
        <v/>
      </c>
      <c r="R33" s="5" t="str">
        <f aca="false">IF(B33="","",F33*Parâmetros!$B$20*C33)</f>
        <v/>
      </c>
      <c r="S33" s="5" t="str">
        <f aca="false">IF(B33="","",(G33*Parâmetros!$B$21+H33*Parâmetros!$B$22)*C33)</f>
        <v/>
      </c>
      <c r="T33" s="5" t="str">
        <f aca="false">IF(B33="","",I33*Parâmetros!$B$23*C33)</f>
        <v/>
      </c>
      <c r="U33" s="5" t="str">
        <f aca="false">IF(B33="","",J33*Parâmetros!$B$24*C33)</f>
        <v/>
      </c>
      <c r="V33" s="5" t="str">
        <f aca="false">IF(B33="","",K33*Parâmetros!$B$25*C33)</f>
        <v/>
      </c>
      <c r="W33" s="5" t="str">
        <f aca="false">IF(B33="","",L33*Parâmetros!$B$26*C33)</f>
        <v/>
      </c>
      <c r="X33" s="5" t="str">
        <f aca="false">IF(B33="","",SUM(N33:W33)+M33)</f>
        <v/>
      </c>
      <c r="Y33" s="5" t="str">
        <f aca="false">IF(B33="","",X33*Parâmetros!$B$8)</f>
        <v/>
      </c>
      <c r="Z33" s="5" t="str">
        <f aca="false">IF(B33="","",X33*Parâmetros!$B$9)</f>
        <v/>
      </c>
      <c r="AA33" s="5" t="str">
        <f aca="false">IF(B33="","",SUM(X33:Z33))</f>
        <v/>
      </c>
      <c r="AB33" s="11" t="str">
        <f aca="false">IF(B33="","",AA33*Parâmetros!$B$5)</f>
        <v/>
      </c>
      <c r="AC33" s="11" t="str">
        <f aca="false">IF(B33="","",AB33/(1-Parâmetros!$B$7))</f>
        <v/>
      </c>
      <c r="AD33" s="11" t="str">
        <f aca="false">IF(B33="","",MAX(AA33*Parâmetros!$B$6,AC33))</f>
        <v/>
      </c>
      <c r="AE33" s="12" t="str">
        <f aca="false">IF(B33="","",(AD33-AB33)/AD33)</f>
        <v/>
      </c>
      <c r="AF33" s="5" t="str">
        <f aca="false">IF(B33="","",AA33/Parâmetros!$B$10)</f>
        <v/>
      </c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5" t="str">
        <f aca="false">IF(B34="","",Parâmetros!$B$16*C34)</f>
        <v/>
      </c>
      <c r="O34" s="5" t="str">
        <f aca="false">IF(B34="","",Parâmetros!$B$17*C34)</f>
        <v/>
      </c>
      <c r="P34" s="5" t="str">
        <f aca="false">IF(B34="","",D34*Parâmetros!$B$18*C34)</f>
        <v/>
      </c>
      <c r="Q34" s="5" t="str">
        <f aca="false">IF(B34="","",E34*Parâmetros!$B$19*C34)</f>
        <v/>
      </c>
      <c r="R34" s="5" t="str">
        <f aca="false">IF(B34="","",F34*Parâmetros!$B$20*C34)</f>
        <v/>
      </c>
      <c r="S34" s="5" t="str">
        <f aca="false">IF(B34="","",(G34*Parâmetros!$B$21+H34*Parâmetros!$B$22)*C34)</f>
        <v/>
      </c>
      <c r="T34" s="5" t="str">
        <f aca="false">IF(B34="","",I34*Parâmetros!$B$23*C34)</f>
        <v/>
      </c>
      <c r="U34" s="5" t="str">
        <f aca="false">IF(B34="","",J34*Parâmetros!$B$24*C34)</f>
        <v/>
      </c>
      <c r="V34" s="5" t="str">
        <f aca="false">IF(B34="","",K34*Parâmetros!$B$25*C34)</f>
        <v/>
      </c>
      <c r="W34" s="5" t="str">
        <f aca="false">IF(B34="","",L34*Parâmetros!$B$26*C34)</f>
        <v/>
      </c>
      <c r="X34" s="5" t="str">
        <f aca="false">IF(B34="","",SUM(N34:W34)+M34)</f>
        <v/>
      </c>
      <c r="Y34" s="5" t="str">
        <f aca="false">IF(B34="","",X34*Parâmetros!$B$8)</f>
        <v/>
      </c>
      <c r="Z34" s="5" t="str">
        <f aca="false">IF(B34="","",X34*Parâmetros!$B$9)</f>
        <v/>
      </c>
      <c r="AA34" s="5" t="str">
        <f aca="false">IF(B34="","",SUM(X34:Z34))</f>
        <v/>
      </c>
      <c r="AB34" s="11" t="str">
        <f aca="false">IF(B34="","",AA34*Parâmetros!$B$5)</f>
        <v/>
      </c>
      <c r="AC34" s="11" t="str">
        <f aca="false">IF(B34="","",AB34/(1-Parâmetros!$B$7))</f>
        <v/>
      </c>
      <c r="AD34" s="11" t="str">
        <f aca="false">IF(B34="","",MAX(AA34*Parâmetros!$B$6,AC34))</f>
        <v/>
      </c>
      <c r="AE34" s="12" t="str">
        <f aca="false">IF(B34="","",(AD34-AB34)/AD34)</f>
        <v/>
      </c>
      <c r="AF34" s="5" t="str">
        <f aca="false">IF(B34="","",AA34/Parâmetros!$B$10)</f>
        <v/>
      </c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5" t="str">
        <f aca="false">IF(B35="","",Parâmetros!$B$16*C35)</f>
        <v/>
      </c>
      <c r="O35" s="5" t="str">
        <f aca="false">IF(B35="","",Parâmetros!$B$17*C35)</f>
        <v/>
      </c>
      <c r="P35" s="5" t="str">
        <f aca="false">IF(B35="","",D35*Parâmetros!$B$18*C35)</f>
        <v/>
      </c>
      <c r="Q35" s="5" t="str">
        <f aca="false">IF(B35="","",E35*Parâmetros!$B$19*C35)</f>
        <v/>
      </c>
      <c r="R35" s="5" t="str">
        <f aca="false">IF(B35="","",F35*Parâmetros!$B$20*C35)</f>
        <v/>
      </c>
      <c r="S35" s="5" t="str">
        <f aca="false">IF(B35="","",(G35*Parâmetros!$B$21+H35*Parâmetros!$B$22)*C35)</f>
        <v/>
      </c>
      <c r="T35" s="5" t="str">
        <f aca="false">IF(B35="","",I35*Parâmetros!$B$23*C35)</f>
        <v/>
      </c>
      <c r="U35" s="5" t="str">
        <f aca="false">IF(B35="","",J35*Parâmetros!$B$24*C35)</f>
        <v/>
      </c>
      <c r="V35" s="5" t="str">
        <f aca="false">IF(B35="","",K35*Parâmetros!$B$25*C35)</f>
        <v/>
      </c>
      <c r="W35" s="5" t="str">
        <f aca="false">IF(B35="","",L35*Parâmetros!$B$26*C35)</f>
        <v/>
      </c>
      <c r="X35" s="5" t="str">
        <f aca="false">IF(B35="","",SUM(N35:W35)+M35)</f>
        <v/>
      </c>
      <c r="Y35" s="5" t="str">
        <f aca="false">IF(B35="","",X35*Parâmetros!$B$8)</f>
        <v/>
      </c>
      <c r="Z35" s="5" t="str">
        <f aca="false">IF(B35="","",X35*Parâmetros!$B$9)</f>
        <v/>
      </c>
      <c r="AA35" s="5" t="str">
        <f aca="false">IF(B35="","",SUM(X35:Z35))</f>
        <v/>
      </c>
      <c r="AB35" s="11" t="str">
        <f aca="false">IF(B35="","",AA35*Parâmetros!$B$5)</f>
        <v/>
      </c>
      <c r="AC35" s="11" t="str">
        <f aca="false">IF(B35="","",AB35/(1-Parâmetros!$B$7))</f>
        <v/>
      </c>
      <c r="AD35" s="11" t="str">
        <f aca="false">IF(B35="","",MAX(AA35*Parâmetros!$B$6,AC35))</f>
        <v/>
      </c>
      <c r="AE35" s="12" t="str">
        <f aca="false">IF(B35="","",(AD35-AB35)/AD35)</f>
        <v/>
      </c>
      <c r="AF35" s="5" t="str">
        <f aca="false">IF(B35="","",AA35/Parâmetros!$B$10)</f>
        <v/>
      </c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" t="str">
        <f aca="false">IF(B36="","",Parâmetros!$B$16*C36)</f>
        <v/>
      </c>
      <c r="O36" s="5" t="str">
        <f aca="false">IF(B36="","",Parâmetros!$B$17*C36)</f>
        <v/>
      </c>
      <c r="P36" s="5" t="str">
        <f aca="false">IF(B36="","",D36*Parâmetros!$B$18*C36)</f>
        <v/>
      </c>
      <c r="Q36" s="5" t="str">
        <f aca="false">IF(B36="","",E36*Parâmetros!$B$19*C36)</f>
        <v/>
      </c>
      <c r="R36" s="5" t="str">
        <f aca="false">IF(B36="","",F36*Parâmetros!$B$20*C36)</f>
        <v/>
      </c>
      <c r="S36" s="5" t="str">
        <f aca="false">IF(B36="","",(G36*Parâmetros!$B$21+H36*Parâmetros!$B$22)*C36)</f>
        <v/>
      </c>
      <c r="T36" s="5" t="str">
        <f aca="false">IF(B36="","",I36*Parâmetros!$B$23*C36)</f>
        <v/>
      </c>
      <c r="U36" s="5" t="str">
        <f aca="false">IF(B36="","",J36*Parâmetros!$B$24*C36)</f>
        <v/>
      </c>
      <c r="V36" s="5" t="str">
        <f aca="false">IF(B36="","",K36*Parâmetros!$B$25*C36)</f>
        <v/>
      </c>
      <c r="W36" s="5" t="str">
        <f aca="false">IF(B36="","",L36*Parâmetros!$B$26*C36)</f>
        <v/>
      </c>
      <c r="X36" s="5" t="str">
        <f aca="false">IF(B36="","",SUM(N36:W36)+M36)</f>
        <v/>
      </c>
      <c r="Y36" s="5" t="str">
        <f aca="false">IF(B36="","",X36*Parâmetros!$B$8)</f>
        <v/>
      </c>
      <c r="Z36" s="5" t="str">
        <f aca="false">IF(B36="","",X36*Parâmetros!$B$9)</f>
        <v/>
      </c>
      <c r="AA36" s="5" t="str">
        <f aca="false">IF(B36="","",SUM(X36:Z36))</f>
        <v/>
      </c>
      <c r="AB36" s="11" t="str">
        <f aca="false">IF(B36="","",AA36*Parâmetros!$B$5)</f>
        <v/>
      </c>
      <c r="AC36" s="11" t="str">
        <f aca="false">IF(B36="","",AB36/(1-Parâmetros!$B$7))</f>
        <v/>
      </c>
      <c r="AD36" s="11" t="str">
        <f aca="false">IF(B36="","",MAX(AA36*Parâmetros!$B$6,AC36))</f>
        <v/>
      </c>
      <c r="AE36" s="12" t="str">
        <f aca="false">IF(B36="","",(AD36-AB36)/AD36)</f>
        <v/>
      </c>
      <c r="AF36" s="5" t="str">
        <f aca="false">IF(B36="","",AA36/Parâmetros!$B$10)</f>
        <v/>
      </c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5" t="str">
        <f aca="false">IF(B37="","",Parâmetros!$B$16*C37)</f>
        <v/>
      </c>
      <c r="O37" s="5" t="str">
        <f aca="false">IF(B37="","",Parâmetros!$B$17*C37)</f>
        <v/>
      </c>
      <c r="P37" s="5" t="str">
        <f aca="false">IF(B37="","",D37*Parâmetros!$B$18*C37)</f>
        <v/>
      </c>
      <c r="Q37" s="5" t="str">
        <f aca="false">IF(B37="","",E37*Parâmetros!$B$19*C37)</f>
        <v/>
      </c>
      <c r="R37" s="5" t="str">
        <f aca="false">IF(B37="","",F37*Parâmetros!$B$20*C37)</f>
        <v/>
      </c>
      <c r="S37" s="5" t="str">
        <f aca="false">IF(B37="","",(G37*Parâmetros!$B$21+H37*Parâmetros!$B$22)*C37)</f>
        <v/>
      </c>
      <c r="T37" s="5" t="str">
        <f aca="false">IF(B37="","",I37*Parâmetros!$B$23*C37)</f>
        <v/>
      </c>
      <c r="U37" s="5" t="str">
        <f aca="false">IF(B37="","",J37*Parâmetros!$B$24*C37)</f>
        <v/>
      </c>
      <c r="V37" s="5" t="str">
        <f aca="false">IF(B37="","",K37*Parâmetros!$B$25*C37)</f>
        <v/>
      </c>
      <c r="W37" s="5" t="str">
        <f aca="false">IF(B37="","",L37*Parâmetros!$B$26*C37)</f>
        <v/>
      </c>
      <c r="X37" s="5" t="str">
        <f aca="false">IF(B37="","",SUM(N37:W37)+M37)</f>
        <v/>
      </c>
      <c r="Y37" s="5" t="str">
        <f aca="false">IF(B37="","",X37*Parâmetros!$B$8)</f>
        <v/>
      </c>
      <c r="Z37" s="5" t="str">
        <f aca="false">IF(B37="","",X37*Parâmetros!$B$9)</f>
        <v/>
      </c>
      <c r="AA37" s="5" t="str">
        <f aca="false">IF(B37="","",SUM(X37:Z37))</f>
        <v/>
      </c>
      <c r="AB37" s="11" t="str">
        <f aca="false">IF(B37="","",AA37*Parâmetros!$B$5)</f>
        <v/>
      </c>
      <c r="AC37" s="11" t="str">
        <f aca="false">IF(B37="","",AB37/(1-Parâmetros!$B$7))</f>
        <v/>
      </c>
      <c r="AD37" s="11" t="str">
        <f aca="false">IF(B37="","",MAX(AA37*Parâmetros!$B$6,AC37))</f>
        <v/>
      </c>
      <c r="AE37" s="12" t="str">
        <f aca="false">IF(B37="","",(AD37-AB37)/AD37)</f>
        <v/>
      </c>
      <c r="AF37" s="5" t="str">
        <f aca="false">IF(B37="","",AA37/Parâmetros!$B$10)</f>
        <v/>
      </c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5" t="str">
        <f aca="false">IF(B38="","",Parâmetros!$B$16*C38)</f>
        <v/>
      </c>
      <c r="O38" s="5" t="str">
        <f aca="false">IF(B38="","",Parâmetros!$B$17*C38)</f>
        <v/>
      </c>
      <c r="P38" s="5" t="str">
        <f aca="false">IF(B38="","",D38*Parâmetros!$B$18*C38)</f>
        <v/>
      </c>
      <c r="Q38" s="5" t="str">
        <f aca="false">IF(B38="","",E38*Parâmetros!$B$19*C38)</f>
        <v/>
      </c>
      <c r="R38" s="5" t="str">
        <f aca="false">IF(B38="","",F38*Parâmetros!$B$20*C38)</f>
        <v/>
      </c>
      <c r="S38" s="5" t="str">
        <f aca="false">IF(B38="","",(G38*Parâmetros!$B$21+H38*Parâmetros!$B$22)*C38)</f>
        <v/>
      </c>
      <c r="T38" s="5" t="str">
        <f aca="false">IF(B38="","",I38*Parâmetros!$B$23*C38)</f>
        <v/>
      </c>
      <c r="U38" s="5" t="str">
        <f aca="false">IF(B38="","",J38*Parâmetros!$B$24*C38)</f>
        <v/>
      </c>
      <c r="V38" s="5" t="str">
        <f aca="false">IF(B38="","",K38*Parâmetros!$B$25*C38)</f>
        <v/>
      </c>
      <c r="W38" s="5" t="str">
        <f aca="false">IF(B38="","",L38*Parâmetros!$B$26*C38)</f>
        <v/>
      </c>
      <c r="X38" s="5" t="str">
        <f aca="false">IF(B38="","",SUM(N38:W38)+M38)</f>
        <v/>
      </c>
      <c r="Y38" s="5" t="str">
        <f aca="false">IF(B38="","",X38*Parâmetros!$B$8)</f>
        <v/>
      </c>
      <c r="Z38" s="5" t="str">
        <f aca="false">IF(B38="","",X38*Parâmetros!$B$9)</f>
        <v/>
      </c>
      <c r="AA38" s="5" t="str">
        <f aca="false">IF(B38="","",SUM(X38:Z38))</f>
        <v/>
      </c>
      <c r="AB38" s="11" t="str">
        <f aca="false">IF(B38="","",AA38*Parâmetros!$B$5)</f>
        <v/>
      </c>
      <c r="AC38" s="11" t="str">
        <f aca="false">IF(B38="","",AB38/(1-Parâmetros!$B$7))</f>
        <v/>
      </c>
      <c r="AD38" s="11" t="str">
        <f aca="false">IF(B38="","",MAX(AA38*Parâmetros!$B$6,AC38))</f>
        <v/>
      </c>
      <c r="AE38" s="12" t="str">
        <f aca="false">IF(B38="","",(AD38-AB38)/AD38)</f>
        <v/>
      </c>
      <c r="AF38" s="5" t="str">
        <f aca="false">IF(B38="","",AA38/Parâmetros!$B$10)</f>
        <v/>
      </c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5" t="str">
        <f aca="false">IF(B39="","",Parâmetros!$B$16*C39)</f>
        <v/>
      </c>
      <c r="O39" s="5" t="str">
        <f aca="false">IF(B39="","",Parâmetros!$B$17*C39)</f>
        <v/>
      </c>
      <c r="P39" s="5" t="str">
        <f aca="false">IF(B39="","",D39*Parâmetros!$B$18*C39)</f>
        <v/>
      </c>
      <c r="Q39" s="5" t="str">
        <f aca="false">IF(B39="","",E39*Parâmetros!$B$19*C39)</f>
        <v/>
      </c>
      <c r="R39" s="5" t="str">
        <f aca="false">IF(B39="","",F39*Parâmetros!$B$20*C39)</f>
        <v/>
      </c>
      <c r="S39" s="5" t="str">
        <f aca="false">IF(B39="","",(G39*Parâmetros!$B$21+H39*Parâmetros!$B$22)*C39)</f>
        <v/>
      </c>
      <c r="T39" s="5" t="str">
        <f aca="false">IF(B39="","",I39*Parâmetros!$B$23*C39)</f>
        <v/>
      </c>
      <c r="U39" s="5" t="str">
        <f aca="false">IF(B39="","",J39*Parâmetros!$B$24*C39)</f>
        <v/>
      </c>
      <c r="V39" s="5" t="str">
        <f aca="false">IF(B39="","",K39*Parâmetros!$B$25*C39)</f>
        <v/>
      </c>
      <c r="W39" s="5" t="str">
        <f aca="false">IF(B39="","",L39*Parâmetros!$B$26*C39)</f>
        <v/>
      </c>
      <c r="X39" s="5" t="str">
        <f aca="false">IF(B39="","",SUM(N39:W39)+M39)</f>
        <v/>
      </c>
      <c r="Y39" s="5" t="str">
        <f aca="false">IF(B39="","",X39*Parâmetros!$B$8)</f>
        <v/>
      </c>
      <c r="Z39" s="5" t="str">
        <f aca="false">IF(B39="","",X39*Parâmetros!$B$9)</f>
        <v/>
      </c>
      <c r="AA39" s="5" t="str">
        <f aca="false">IF(B39="","",SUM(X39:Z39))</f>
        <v/>
      </c>
      <c r="AB39" s="11" t="str">
        <f aca="false">IF(B39="","",AA39*Parâmetros!$B$5)</f>
        <v/>
      </c>
      <c r="AC39" s="11" t="str">
        <f aca="false">IF(B39="","",AB39/(1-Parâmetros!$B$7))</f>
        <v/>
      </c>
      <c r="AD39" s="11" t="str">
        <f aca="false">IF(B39="","",MAX(AA39*Parâmetros!$B$6,AC39))</f>
        <v/>
      </c>
      <c r="AE39" s="12" t="str">
        <f aca="false">IF(B39="","",(AD39-AB39)/AD39)</f>
        <v/>
      </c>
      <c r="AF39" s="5" t="str">
        <f aca="false">IF(B39="","",AA39/Parâmetros!$B$10)</f>
        <v/>
      </c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5" t="str">
        <f aca="false">IF(B40="","",Parâmetros!$B$16*C40)</f>
        <v/>
      </c>
      <c r="O40" s="5" t="str">
        <f aca="false">IF(B40="","",Parâmetros!$B$17*C40)</f>
        <v/>
      </c>
      <c r="P40" s="5" t="str">
        <f aca="false">IF(B40="","",D40*Parâmetros!$B$18*C40)</f>
        <v/>
      </c>
      <c r="Q40" s="5" t="str">
        <f aca="false">IF(B40="","",E40*Parâmetros!$B$19*C40)</f>
        <v/>
      </c>
      <c r="R40" s="5" t="str">
        <f aca="false">IF(B40="","",F40*Parâmetros!$B$20*C40)</f>
        <v/>
      </c>
      <c r="S40" s="5" t="str">
        <f aca="false">IF(B40="","",(G40*Parâmetros!$B$21+H40*Parâmetros!$B$22)*C40)</f>
        <v/>
      </c>
      <c r="T40" s="5" t="str">
        <f aca="false">IF(B40="","",I40*Parâmetros!$B$23*C40)</f>
        <v/>
      </c>
      <c r="U40" s="5" t="str">
        <f aca="false">IF(B40="","",J40*Parâmetros!$B$24*C40)</f>
        <v/>
      </c>
      <c r="V40" s="5" t="str">
        <f aca="false">IF(B40="","",K40*Parâmetros!$B$25*C40)</f>
        <v/>
      </c>
      <c r="W40" s="5" t="str">
        <f aca="false">IF(B40="","",L40*Parâmetros!$B$26*C40)</f>
        <v/>
      </c>
      <c r="X40" s="5" t="str">
        <f aca="false">IF(B40="","",SUM(N40:W40)+M40)</f>
        <v/>
      </c>
      <c r="Y40" s="5" t="str">
        <f aca="false">IF(B40="","",X40*Parâmetros!$B$8)</f>
        <v/>
      </c>
      <c r="Z40" s="5" t="str">
        <f aca="false">IF(B40="","",X40*Parâmetros!$B$9)</f>
        <v/>
      </c>
      <c r="AA40" s="5" t="str">
        <f aca="false">IF(B40="","",SUM(X40:Z40))</f>
        <v/>
      </c>
      <c r="AB40" s="11" t="str">
        <f aca="false">IF(B40="","",AA40*Parâmetros!$B$5)</f>
        <v/>
      </c>
      <c r="AC40" s="11" t="str">
        <f aca="false">IF(B40="","",AB40/(1-Parâmetros!$B$7))</f>
        <v/>
      </c>
      <c r="AD40" s="11" t="str">
        <f aca="false">IF(B40="","",MAX(AA40*Parâmetros!$B$6,AC40))</f>
        <v/>
      </c>
      <c r="AE40" s="12" t="str">
        <f aca="false">IF(B40="","",(AD40-AB40)/AD40)</f>
        <v/>
      </c>
      <c r="AF40" s="5" t="str">
        <f aca="false">IF(B40="","",AA40/Parâmetros!$B$10)</f>
        <v/>
      </c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" t="str">
        <f aca="false">IF(B41="","",Parâmetros!$B$16*C41)</f>
        <v/>
      </c>
      <c r="O41" s="5" t="str">
        <f aca="false">IF(B41="","",Parâmetros!$B$17*C41)</f>
        <v/>
      </c>
      <c r="P41" s="5" t="str">
        <f aca="false">IF(B41="","",D41*Parâmetros!$B$18*C41)</f>
        <v/>
      </c>
      <c r="Q41" s="5" t="str">
        <f aca="false">IF(B41="","",E41*Parâmetros!$B$19*C41)</f>
        <v/>
      </c>
      <c r="R41" s="5" t="str">
        <f aca="false">IF(B41="","",F41*Parâmetros!$B$20*C41)</f>
        <v/>
      </c>
      <c r="S41" s="5" t="str">
        <f aca="false">IF(B41="","",(G41*Parâmetros!$B$21+H41*Parâmetros!$B$22)*C41)</f>
        <v/>
      </c>
      <c r="T41" s="5" t="str">
        <f aca="false">IF(B41="","",I41*Parâmetros!$B$23*C41)</f>
        <v/>
      </c>
      <c r="U41" s="5" t="str">
        <f aca="false">IF(B41="","",J41*Parâmetros!$B$24*C41)</f>
        <v/>
      </c>
      <c r="V41" s="5" t="str">
        <f aca="false">IF(B41="","",K41*Parâmetros!$B$25*C41)</f>
        <v/>
      </c>
      <c r="W41" s="5" t="str">
        <f aca="false">IF(B41="","",L41*Parâmetros!$B$26*C41)</f>
        <v/>
      </c>
      <c r="X41" s="5" t="str">
        <f aca="false">IF(B41="","",SUM(N41:W41)+M41)</f>
        <v/>
      </c>
      <c r="Y41" s="5" t="str">
        <f aca="false">IF(B41="","",X41*Parâmetros!$B$8)</f>
        <v/>
      </c>
      <c r="Z41" s="5" t="str">
        <f aca="false">IF(B41="","",X41*Parâmetros!$B$9)</f>
        <v/>
      </c>
      <c r="AA41" s="5" t="str">
        <f aca="false">IF(B41="","",SUM(X41:Z41))</f>
        <v/>
      </c>
      <c r="AB41" s="11" t="str">
        <f aca="false">IF(B41="","",AA41*Parâmetros!$B$5)</f>
        <v/>
      </c>
      <c r="AC41" s="11" t="str">
        <f aca="false">IF(B41="","",AB41/(1-Parâmetros!$B$7))</f>
        <v/>
      </c>
      <c r="AD41" s="11" t="str">
        <f aca="false">IF(B41="","",MAX(AA41*Parâmetros!$B$6,AC41))</f>
        <v/>
      </c>
      <c r="AE41" s="12" t="str">
        <f aca="false">IF(B41="","",(AD41-AB41)/AD41)</f>
        <v/>
      </c>
      <c r="AF41" s="5" t="str">
        <f aca="false">IF(B41="","",AA41/Parâmetros!$B$10)</f>
        <v/>
      </c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" t="str">
        <f aca="false">IF(B42="","",Parâmetros!$B$16*C42)</f>
        <v/>
      </c>
      <c r="O42" s="5" t="str">
        <f aca="false">IF(B42="","",Parâmetros!$B$17*C42)</f>
        <v/>
      </c>
      <c r="P42" s="5" t="str">
        <f aca="false">IF(B42="","",D42*Parâmetros!$B$18*C42)</f>
        <v/>
      </c>
      <c r="Q42" s="5" t="str">
        <f aca="false">IF(B42="","",E42*Parâmetros!$B$19*C42)</f>
        <v/>
      </c>
      <c r="R42" s="5" t="str">
        <f aca="false">IF(B42="","",F42*Parâmetros!$B$20*C42)</f>
        <v/>
      </c>
      <c r="S42" s="5" t="str">
        <f aca="false">IF(B42="","",(G42*Parâmetros!$B$21+H42*Parâmetros!$B$22)*C42)</f>
        <v/>
      </c>
      <c r="T42" s="5" t="str">
        <f aca="false">IF(B42="","",I42*Parâmetros!$B$23*C42)</f>
        <v/>
      </c>
      <c r="U42" s="5" t="str">
        <f aca="false">IF(B42="","",J42*Parâmetros!$B$24*C42)</f>
        <v/>
      </c>
      <c r="V42" s="5" t="str">
        <f aca="false">IF(B42="","",K42*Parâmetros!$B$25*C42)</f>
        <v/>
      </c>
      <c r="W42" s="5" t="str">
        <f aca="false">IF(B42="","",L42*Parâmetros!$B$26*C42)</f>
        <v/>
      </c>
      <c r="X42" s="5" t="str">
        <f aca="false">IF(B42="","",SUM(N42:W42)+M42)</f>
        <v/>
      </c>
      <c r="Y42" s="5" t="str">
        <f aca="false">IF(B42="","",X42*Parâmetros!$B$8)</f>
        <v/>
      </c>
      <c r="Z42" s="5" t="str">
        <f aca="false">IF(B42="","",X42*Parâmetros!$B$9)</f>
        <v/>
      </c>
      <c r="AA42" s="5" t="str">
        <f aca="false">IF(B42="","",SUM(X42:Z42))</f>
        <v/>
      </c>
      <c r="AB42" s="11" t="str">
        <f aca="false">IF(B42="","",AA42*Parâmetros!$B$5)</f>
        <v/>
      </c>
      <c r="AC42" s="11" t="str">
        <f aca="false">IF(B42="","",AB42/(1-Parâmetros!$B$7))</f>
        <v/>
      </c>
      <c r="AD42" s="11" t="str">
        <f aca="false">IF(B42="","",MAX(AA42*Parâmetros!$B$6,AC42))</f>
        <v/>
      </c>
      <c r="AE42" s="12" t="str">
        <f aca="false">IF(B42="","",(AD42-AB42)/AD42)</f>
        <v/>
      </c>
      <c r="AF42" s="5" t="str">
        <f aca="false">IF(B42="","",AA42/Parâmetros!$B$10)</f>
        <v/>
      </c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5" t="str">
        <f aca="false">IF(B43="","",Parâmetros!$B$16*C43)</f>
        <v/>
      </c>
      <c r="O43" s="5" t="str">
        <f aca="false">IF(B43="","",Parâmetros!$B$17*C43)</f>
        <v/>
      </c>
      <c r="P43" s="5" t="str">
        <f aca="false">IF(B43="","",D43*Parâmetros!$B$18*C43)</f>
        <v/>
      </c>
      <c r="Q43" s="5" t="str">
        <f aca="false">IF(B43="","",E43*Parâmetros!$B$19*C43)</f>
        <v/>
      </c>
      <c r="R43" s="5" t="str">
        <f aca="false">IF(B43="","",F43*Parâmetros!$B$20*C43)</f>
        <v/>
      </c>
      <c r="S43" s="5" t="str">
        <f aca="false">IF(B43="","",(G43*Parâmetros!$B$21+H43*Parâmetros!$B$22)*C43)</f>
        <v/>
      </c>
      <c r="T43" s="5" t="str">
        <f aca="false">IF(B43="","",I43*Parâmetros!$B$23*C43)</f>
        <v/>
      </c>
      <c r="U43" s="5" t="str">
        <f aca="false">IF(B43="","",J43*Parâmetros!$B$24*C43)</f>
        <v/>
      </c>
      <c r="V43" s="5" t="str">
        <f aca="false">IF(B43="","",K43*Parâmetros!$B$25*C43)</f>
        <v/>
      </c>
      <c r="W43" s="5" t="str">
        <f aca="false">IF(B43="","",L43*Parâmetros!$B$26*C43)</f>
        <v/>
      </c>
      <c r="X43" s="5" t="str">
        <f aca="false">IF(B43="","",SUM(N43:W43)+M43)</f>
        <v/>
      </c>
      <c r="Y43" s="5" t="str">
        <f aca="false">IF(B43="","",X43*Parâmetros!$B$8)</f>
        <v/>
      </c>
      <c r="Z43" s="5" t="str">
        <f aca="false">IF(B43="","",X43*Parâmetros!$B$9)</f>
        <v/>
      </c>
      <c r="AA43" s="5" t="str">
        <f aca="false">IF(B43="","",SUM(X43:Z43))</f>
        <v/>
      </c>
      <c r="AB43" s="11" t="str">
        <f aca="false">IF(B43="","",AA43*Parâmetros!$B$5)</f>
        <v/>
      </c>
      <c r="AC43" s="11" t="str">
        <f aca="false">IF(B43="","",AB43/(1-Parâmetros!$B$7))</f>
        <v/>
      </c>
      <c r="AD43" s="11" t="str">
        <f aca="false">IF(B43="","",MAX(AA43*Parâmetros!$B$6,AC43))</f>
        <v/>
      </c>
      <c r="AE43" s="12" t="str">
        <f aca="false">IF(B43="","",(AD43-AB43)/AD43)</f>
        <v/>
      </c>
      <c r="AF43" s="5" t="str">
        <f aca="false">IF(B43="","",AA43/Parâmetros!$B$10)</f>
        <v/>
      </c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5" t="str">
        <f aca="false">IF(B44="","",Parâmetros!$B$16*C44)</f>
        <v/>
      </c>
      <c r="O44" s="5" t="str">
        <f aca="false">IF(B44="","",Parâmetros!$B$17*C44)</f>
        <v/>
      </c>
      <c r="P44" s="5" t="str">
        <f aca="false">IF(B44="","",D44*Parâmetros!$B$18*C44)</f>
        <v/>
      </c>
      <c r="Q44" s="5" t="str">
        <f aca="false">IF(B44="","",E44*Parâmetros!$B$19*C44)</f>
        <v/>
      </c>
      <c r="R44" s="5" t="str">
        <f aca="false">IF(B44="","",F44*Parâmetros!$B$20*C44)</f>
        <v/>
      </c>
      <c r="S44" s="5" t="str">
        <f aca="false">IF(B44="","",(G44*Parâmetros!$B$21+H44*Parâmetros!$B$22)*C44)</f>
        <v/>
      </c>
      <c r="T44" s="5" t="str">
        <f aca="false">IF(B44="","",I44*Parâmetros!$B$23*C44)</f>
        <v/>
      </c>
      <c r="U44" s="5" t="str">
        <f aca="false">IF(B44="","",J44*Parâmetros!$B$24*C44)</f>
        <v/>
      </c>
      <c r="V44" s="5" t="str">
        <f aca="false">IF(B44="","",K44*Parâmetros!$B$25*C44)</f>
        <v/>
      </c>
      <c r="W44" s="5" t="str">
        <f aca="false">IF(B44="","",L44*Parâmetros!$B$26*C44)</f>
        <v/>
      </c>
      <c r="X44" s="5" t="str">
        <f aca="false">IF(B44="","",SUM(N44:W44)+M44)</f>
        <v/>
      </c>
      <c r="Y44" s="5" t="str">
        <f aca="false">IF(B44="","",X44*Parâmetros!$B$8)</f>
        <v/>
      </c>
      <c r="Z44" s="5" t="str">
        <f aca="false">IF(B44="","",X44*Parâmetros!$B$9)</f>
        <v/>
      </c>
      <c r="AA44" s="5" t="str">
        <f aca="false">IF(B44="","",SUM(X44:Z44))</f>
        <v/>
      </c>
      <c r="AB44" s="11" t="str">
        <f aca="false">IF(B44="","",AA44*Parâmetros!$B$5)</f>
        <v/>
      </c>
      <c r="AC44" s="11" t="str">
        <f aca="false">IF(B44="","",AB44/(1-Parâmetros!$B$7))</f>
        <v/>
      </c>
      <c r="AD44" s="11" t="str">
        <f aca="false">IF(B44="","",MAX(AA44*Parâmetros!$B$6,AC44))</f>
        <v/>
      </c>
      <c r="AE44" s="12" t="str">
        <f aca="false">IF(B44="","",(AD44-AB44)/AD44)</f>
        <v/>
      </c>
      <c r="AF44" s="5" t="str">
        <f aca="false">IF(B44="","",AA44/Parâmetros!$B$10)</f>
        <v/>
      </c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5" t="str">
        <f aca="false">IF(B45="","",Parâmetros!$B$16*C45)</f>
        <v/>
      </c>
      <c r="O45" s="5" t="str">
        <f aca="false">IF(B45="","",Parâmetros!$B$17*C45)</f>
        <v/>
      </c>
      <c r="P45" s="5" t="str">
        <f aca="false">IF(B45="","",D45*Parâmetros!$B$18*C45)</f>
        <v/>
      </c>
      <c r="Q45" s="5" t="str">
        <f aca="false">IF(B45="","",E45*Parâmetros!$B$19*C45)</f>
        <v/>
      </c>
      <c r="R45" s="5" t="str">
        <f aca="false">IF(B45="","",F45*Parâmetros!$B$20*C45)</f>
        <v/>
      </c>
      <c r="S45" s="5" t="str">
        <f aca="false">IF(B45="","",(G45*Parâmetros!$B$21+H45*Parâmetros!$B$22)*C45)</f>
        <v/>
      </c>
      <c r="T45" s="5" t="str">
        <f aca="false">IF(B45="","",I45*Parâmetros!$B$23*C45)</f>
        <v/>
      </c>
      <c r="U45" s="5" t="str">
        <f aca="false">IF(B45="","",J45*Parâmetros!$B$24*C45)</f>
        <v/>
      </c>
      <c r="V45" s="5" t="str">
        <f aca="false">IF(B45="","",K45*Parâmetros!$B$25*C45)</f>
        <v/>
      </c>
      <c r="W45" s="5" t="str">
        <f aca="false">IF(B45="","",L45*Parâmetros!$B$26*C45)</f>
        <v/>
      </c>
      <c r="X45" s="5" t="str">
        <f aca="false">IF(B45="","",SUM(N45:W45)+M45)</f>
        <v/>
      </c>
      <c r="Y45" s="5" t="str">
        <f aca="false">IF(B45="","",X45*Parâmetros!$B$8)</f>
        <v/>
      </c>
      <c r="Z45" s="5" t="str">
        <f aca="false">IF(B45="","",X45*Parâmetros!$B$9)</f>
        <v/>
      </c>
      <c r="AA45" s="5" t="str">
        <f aca="false">IF(B45="","",SUM(X45:Z45))</f>
        <v/>
      </c>
      <c r="AB45" s="11" t="str">
        <f aca="false">IF(B45="","",AA45*Parâmetros!$B$5)</f>
        <v/>
      </c>
      <c r="AC45" s="11" t="str">
        <f aca="false">IF(B45="","",AB45/(1-Parâmetros!$B$7))</f>
        <v/>
      </c>
      <c r="AD45" s="11" t="str">
        <f aca="false">IF(B45="","",MAX(AA45*Parâmetros!$B$6,AC45))</f>
        <v/>
      </c>
      <c r="AE45" s="12" t="str">
        <f aca="false">IF(B45="","",(AD45-AB45)/AD45)</f>
        <v/>
      </c>
      <c r="AF45" s="5" t="str">
        <f aca="false">IF(B45="","",AA45/Parâmetros!$B$10)</f>
        <v/>
      </c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5" t="str">
        <f aca="false">IF(B46="","",Parâmetros!$B$16*C46)</f>
        <v/>
      </c>
      <c r="O46" s="5" t="str">
        <f aca="false">IF(B46="","",Parâmetros!$B$17*C46)</f>
        <v/>
      </c>
      <c r="P46" s="5" t="str">
        <f aca="false">IF(B46="","",D46*Parâmetros!$B$18*C46)</f>
        <v/>
      </c>
      <c r="Q46" s="5" t="str">
        <f aca="false">IF(B46="","",E46*Parâmetros!$B$19*C46)</f>
        <v/>
      </c>
      <c r="R46" s="5" t="str">
        <f aca="false">IF(B46="","",F46*Parâmetros!$B$20*C46)</f>
        <v/>
      </c>
      <c r="S46" s="5" t="str">
        <f aca="false">IF(B46="","",(G46*Parâmetros!$B$21+H46*Parâmetros!$B$22)*C46)</f>
        <v/>
      </c>
      <c r="T46" s="5" t="str">
        <f aca="false">IF(B46="","",I46*Parâmetros!$B$23*C46)</f>
        <v/>
      </c>
      <c r="U46" s="5" t="str">
        <f aca="false">IF(B46="","",J46*Parâmetros!$B$24*C46)</f>
        <v/>
      </c>
      <c r="V46" s="5" t="str">
        <f aca="false">IF(B46="","",K46*Parâmetros!$B$25*C46)</f>
        <v/>
      </c>
      <c r="W46" s="5" t="str">
        <f aca="false">IF(B46="","",L46*Parâmetros!$B$26*C46)</f>
        <v/>
      </c>
      <c r="X46" s="5" t="str">
        <f aca="false">IF(B46="","",SUM(N46:W46)+M46)</f>
        <v/>
      </c>
      <c r="Y46" s="5" t="str">
        <f aca="false">IF(B46="","",X46*Parâmetros!$B$8)</f>
        <v/>
      </c>
      <c r="Z46" s="5" t="str">
        <f aca="false">IF(B46="","",X46*Parâmetros!$B$9)</f>
        <v/>
      </c>
      <c r="AA46" s="5" t="str">
        <f aca="false">IF(B46="","",SUM(X46:Z46))</f>
        <v/>
      </c>
      <c r="AB46" s="11" t="str">
        <f aca="false">IF(B46="","",AA46*Parâmetros!$B$5)</f>
        <v/>
      </c>
      <c r="AC46" s="11" t="str">
        <f aca="false">IF(B46="","",AB46/(1-Parâmetros!$B$7))</f>
        <v/>
      </c>
      <c r="AD46" s="11" t="str">
        <f aca="false">IF(B46="","",MAX(AA46*Parâmetros!$B$6,AC46))</f>
        <v/>
      </c>
      <c r="AE46" s="12" t="str">
        <f aca="false">IF(B46="","",(AD46-AB46)/AD46)</f>
        <v/>
      </c>
      <c r="AF46" s="5" t="str">
        <f aca="false">IF(B46="","",AA46/Parâmetros!$B$10)</f>
        <v/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5" t="str">
        <f aca="false">IF(B47="","",Parâmetros!$B$16*C47)</f>
        <v/>
      </c>
      <c r="O47" s="5" t="str">
        <f aca="false">IF(B47="","",Parâmetros!$B$17*C47)</f>
        <v/>
      </c>
      <c r="P47" s="5" t="str">
        <f aca="false">IF(B47="","",D47*Parâmetros!$B$18*C47)</f>
        <v/>
      </c>
      <c r="Q47" s="5" t="str">
        <f aca="false">IF(B47="","",E47*Parâmetros!$B$19*C47)</f>
        <v/>
      </c>
      <c r="R47" s="5" t="str">
        <f aca="false">IF(B47="","",F47*Parâmetros!$B$20*C47)</f>
        <v/>
      </c>
      <c r="S47" s="5" t="str">
        <f aca="false">IF(B47="","",(G47*Parâmetros!$B$21+H47*Parâmetros!$B$22)*C47)</f>
        <v/>
      </c>
      <c r="T47" s="5" t="str">
        <f aca="false">IF(B47="","",I47*Parâmetros!$B$23*C47)</f>
        <v/>
      </c>
      <c r="U47" s="5" t="str">
        <f aca="false">IF(B47="","",J47*Parâmetros!$B$24*C47)</f>
        <v/>
      </c>
      <c r="V47" s="5" t="str">
        <f aca="false">IF(B47="","",K47*Parâmetros!$B$25*C47)</f>
        <v/>
      </c>
      <c r="W47" s="5" t="str">
        <f aca="false">IF(B47="","",L47*Parâmetros!$B$26*C47)</f>
        <v/>
      </c>
      <c r="X47" s="5" t="str">
        <f aca="false">IF(B47="","",SUM(N47:W47)+M47)</f>
        <v/>
      </c>
      <c r="Y47" s="5" t="str">
        <f aca="false">IF(B47="","",X47*Parâmetros!$B$8)</f>
        <v/>
      </c>
      <c r="Z47" s="5" t="str">
        <f aca="false">IF(B47="","",X47*Parâmetros!$B$9)</f>
        <v/>
      </c>
      <c r="AA47" s="5" t="str">
        <f aca="false">IF(B47="","",SUM(X47:Z47))</f>
        <v/>
      </c>
      <c r="AB47" s="11" t="str">
        <f aca="false">IF(B47="","",AA47*Parâmetros!$B$5)</f>
        <v/>
      </c>
      <c r="AC47" s="11" t="str">
        <f aca="false">IF(B47="","",AB47/(1-Parâmetros!$B$7))</f>
        <v/>
      </c>
      <c r="AD47" s="11" t="str">
        <f aca="false">IF(B47="","",MAX(AA47*Parâmetros!$B$6,AC47))</f>
        <v/>
      </c>
      <c r="AE47" s="12" t="str">
        <f aca="false">IF(B47="","",(AD47-AB47)/AD47)</f>
        <v/>
      </c>
      <c r="AF47" s="5" t="str">
        <f aca="false">IF(B47="","",AA47/Parâmetros!$B$10)</f>
        <v/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5" t="str">
        <f aca="false">IF(B48="","",Parâmetros!$B$16*C48)</f>
        <v/>
      </c>
      <c r="O48" s="5" t="str">
        <f aca="false">IF(B48="","",Parâmetros!$B$17*C48)</f>
        <v/>
      </c>
      <c r="P48" s="5" t="str">
        <f aca="false">IF(B48="","",D48*Parâmetros!$B$18*C48)</f>
        <v/>
      </c>
      <c r="Q48" s="5" t="str">
        <f aca="false">IF(B48="","",E48*Parâmetros!$B$19*C48)</f>
        <v/>
      </c>
      <c r="R48" s="5" t="str">
        <f aca="false">IF(B48="","",F48*Parâmetros!$B$20*C48)</f>
        <v/>
      </c>
      <c r="S48" s="5" t="str">
        <f aca="false">IF(B48="","",(G48*Parâmetros!$B$21+H48*Parâmetros!$B$22)*C48)</f>
        <v/>
      </c>
      <c r="T48" s="5" t="str">
        <f aca="false">IF(B48="","",I48*Parâmetros!$B$23*C48)</f>
        <v/>
      </c>
      <c r="U48" s="5" t="str">
        <f aca="false">IF(B48="","",J48*Parâmetros!$B$24*C48)</f>
        <v/>
      </c>
      <c r="V48" s="5" t="str">
        <f aca="false">IF(B48="","",K48*Parâmetros!$B$25*C48)</f>
        <v/>
      </c>
      <c r="W48" s="5" t="str">
        <f aca="false">IF(B48="","",L48*Parâmetros!$B$26*C48)</f>
        <v/>
      </c>
      <c r="X48" s="5" t="str">
        <f aca="false">IF(B48="","",SUM(N48:W48)+M48)</f>
        <v/>
      </c>
      <c r="Y48" s="5" t="str">
        <f aca="false">IF(B48="","",X48*Parâmetros!$B$8)</f>
        <v/>
      </c>
      <c r="Z48" s="5" t="str">
        <f aca="false">IF(B48="","",X48*Parâmetros!$B$9)</f>
        <v/>
      </c>
      <c r="AA48" s="5" t="str">
        <f aca="false">IF(B48="","",SUM(X48:Z48))</f>
        <v/>
      </c>
      <c r="AB48" s="11" t="str">
        <f aca="false">IF(B48="","",AA48*Parâmetros!$B$5)</f>
        <v/>
      </c>
      <c r="AC48" s="11" t="str">
        <f aca="false">IF(B48="","",AB48/(1-Parâmetros!$B$7))</f>
        <v/>
      </c>
      <c r="AD48" s="11" t="str">
        <f aca="false">IF(B48="","",MAX(AA48*Parâmetros!$B$6,AC48))</f>
        <v/>
      </c>
      <c r="AE48" s="12" t="str">
        <f aca="false">IF(B48="","",(AD48-AB48)/AD48)</f>
        <v/>
      </c>
      <c r="AF48" s="5" t="str">
        <f aca="false">IF(B48="","",AA48/Parâmetros!$B$10)</f>
        <v/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5" t="str">
        <f aca="false">IF(B49="","",Parâmetros!$B$16*C49)</f>
        <v/>
      </c>
      <c r="O49" s="5" t="str">
        <f aca="false">IF(B49="","",Parâmetros!$B$17*C49)</f>
        <v/>
      </c>
      <c r="P49" s="5" t="str">
        <f aca="false">IF(B49="","",D49*Parâmetros!$B$18*C49)</f>
        <v/>
      </c>
      <c r="Q49" s="5" t="str">
        <f aca="false">IF(B49="","",E49*Parâmetros!$B$19*C49)</f>
        <v/>
      </c>
      <c r="R49" s="5" t="str">
        <f aca="false">IF(B49="","",F49*Parâmetros!$B$20*C49)</f>
        <v/>
      </c>
      <c r="S49" s="5" t="str">
        <f aca="false">IF(B49="","",(G49*Parâmetros!$B$21+H49*Parâmetros!$B$22)*C49)</f>
        <v/>
      </c>
      <c r="T49" s="5" t="str">
        <f aca="false">IF(B49="","",I49*Parâmetros!$B$23*C49)</f>
        <v/>
      </c>
      <c r="U49" s="5" t="str">
        <f aca="false">IF(B49="","",J49*Parâmetros!$B$24*C49)</f>
        <v/>
      </c>
      <c r="V49" s="5" t="str">
        <f aca="false">IF(B49="","",K49*Parâmetros!$B$25*C49)</f>
        <v/>
      </c>
      <c r="W49" s="5" t="str">
        <f aca="false">IF(B49="","",L49*Parâmetros!$B$26*C49)</f>
        <v/>
      </c>
      <c r="X49" s="5" t="str">
        <f aca="false">IF(B49="","",SUM(N49:W49)+M49)</f>
        <v/>
      </c>
      <c r="Y49" s="5" t="str">
        <f aca="false">IF(B49="","",X49*Parâmetros!$B$8)</f>
        <v/>
      </c>
      <c r="Z49" s="5" t="str">
        <f aca="false">IF(B49="","",X49*Parâmetros!$B$9)</f>
        <v/>
      </c>
      <c r="AA49" s="5" t="str">
        <f aca="false">IF(B49="","",SUM(X49:Z49))</f>
        <v/>
      </c>
      <c r="AB49" s="11" t="str">
        <f aca="false">IF(B49="","",AA49*Parâmetros!$B$5)</f>
        <v/>
      </c>
      <c r="AC49" s="11" t="str">
        <f aca="false">IF(B49="","",AB49/(1-Parâmetros!$B$7))</f>
        <v/>
      </c>
      <c r="AD49" s="11" t="str">
        <f aca="false">IF(B49="","",MAX(AA49*Parâmetros!$B$6,AC49))</f>
        <v/>
      </c>
      <c r="AE49" s="12" t="str">
        <f aca="false">IF(B49="","",(AD49-AB49)/AD49)</f>
        <v/>
      </c>
      <c r="AF49" s="5" t="str">
        <f aca="false">IF(B49="","",AA49/Parâmetros!$B$10)</f>
        <v/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5" t="str">
        <f aca="false">IF(B50="","",Parâmetros!$B$16*C50)</f>
        <v/>
      </c>
      <c r="O50" s="5" t="str">
        <f aca="false">IF(B50="","",Parâmetros!$B$17*C50)</f>
        <v/>
      </c>
      <c r="P50" s="5" t="str">
        <f aca="false">IF(B50="","",D50*Parâmetros!$B$18*C50)</f>
        <v/>
      </c>
      <c r="Q50" s="5" t="str">
        <f aca="false">IF(B50="","",E50*Parâmetros!$B$19*C50)</f>
        <v/>
      </c>
      <c r="R50" s="5" t="str">
        <f aca="false">IF(B50="","",F50*Parâmetros!$B$20*C50)</f>
        <v/>
      </c>
      <c r="S50" s="5" t="str">
        <f aca="false">IF(B50="","",(G50*Parâmetros!$B$21+H50*Parâmetros!$B$22)*C50)</f>
        <v/>
      </c>
      <c r="T50" s="5" t="str">
        <f aca="false">IF(B50="","",I50*Parâmetros!$B$23*C50)</f>
        <v/>
      </c>
      <c r="U50" s="5" t="str">
        <f aca="false">IF(B50="","",J50*Parâmetros!$B$24*C50)</f>
        <v/>
      </c>
      <c r="V50" s="5" t="str">
        <f aca="false">IF(B50="","",K50*Parâmetros!$B$25*C50)</f>
        <v/>
      </c>
      <c r="W50" s="5" t="str">
        <f aca="false">IF(B50="","",L50*Parâmetros!$B$26*C50)</f>
        <v/>
      </c>
      <c r="X50" s="5" t="str">
        <f aca="false">IF(B50="","",SUM(N50:W50)+M50)</f>
        <v/>
      </c>
      <c r="Y50" s="5" t="str">
        <f aca="false">IF(B50="","",X50*Parâmetros!$B$8)</f>
        <v/>
      </c>
      <c r="Z50" s="5" t="str">
        <f aca="false">IF(B50="","",X50*Parâmetros!$B$9)</f>
        <v/>
      </c>
      <c r="AA50" s="5" t="str">
        <f aca="false">IF(B50="","",SUM(X50:Z50))</f>
        <v/>
      </c>
      <c r="AB50" s="11" t="str">
        <f aca="false">IF(B50="","",AA50*Parâmetros!$B$5)</f>
        <v/>
      </c>
      <c r="AC50" s="11" t="str">
        <f aca="false">IF(B50="","",AB50/(1-Parâmetros!$B$7))</f>
        <v/>
      </c>
      <c r="AD50" s="11" t="str">
        <f aca="false">IF(B50="","",MAX(AA50*Parâmetros!$B$6,AC50))</f>
        <v/>
      </c>
      <c r="AE50" s="12" t="str">
        <f aca="false">IF(B50="","",(AD50-AB50)/AD50)</f>
        <v/>
      </c>
      <c r="AF50" s="5" t="str">
        <f aca="false">IF(B50="","",AA50/Parâmetros!$B$10)</f>
        <v/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5" t="str">
        <f aca="false">IF(B51="","",Parâmetros!$B$16*C51)</f>
        <v/>
      </c>
      <c r="O51" s="5" t="str">
        <f aca="false">IF(B51="","",Parâmetros!$B$17*C51)</f>
        <v/>
      </c>
      <c r="P51" s="5" t="str">
        <f aca="false">IF(B51="","",D51*Parâmetros!$B$18*C51)</f>
        <v/>
      </c>
      <c r="Q51" s="5" t="str">
        <f aca="false">IF(B51="","",E51*Parâmetros!$B$19*C51)</f>
        <v/>
      </c>
      <c r="R51" s="5" t="str">
        <f aca="false">IF(B51="","",F51*Parâmetros!$B$20*C51)</f>
        <v/>
      </c>
      <c r="S51" s="5" t="str">
        <f aca="false">IF(B51="","",(G51*Parâmetros!$B$21+H51*Parâmetros!$B$22)*C51)</f>
        <v/>
      </c>
      <c r="T51" s="5" t="str">
        <f aca="false">IF(B51="","",I51*Parâmetros!$B$23*C51)</f>
        <v/>
      </c>
      <c r="U51" s="5" t="str">
        <f aca="false">IF(B51="","",J51*Parâmetros!$B$24*C51)</f>
        <v/>
      </c>
      <c r="V51" s="5" t="str">
        <f aca="false">IF(B51="","",K51*Parâmetros!$B$25*C51)</f>
        <v/>
      </c>
      <c r="W51" s="5" t="str">
        <f aca="false">IF(B51="","",L51*Parâmetros!$B$26*C51)</f>
        <v/>
      </c>
      <c r="X51" s="5" t="str">
        <f aca="false">IF(B51="","",SUM(N51:W51)+M51)</f>
        <v/>
      </c>
      <c r="Y51" s="5" t="str">
        <f aca="false">IF(B51="","",X51*Parâmetros!$B$8)</f>
        <v/>
      </c>
      <c r="Z51" s="5" t="str">
        <f aca="false">IF(B51="","",X51*Parâmetros!$B$9)</f>
        <v/>
      </c>
      <c r="AA51" s="5" t="str">
        <f aca="false">IF(B51="","",SUM(X51:Z51))</f>
        <v/>
      </c>
      <c r="AB51" s="11" t="str">
        <f aca="false">IF(B51="","",AA51*Parâmetros!$B$5)</f>
        <v/>
      </c>
      <c r="AC51" s="11" t="str">
        <f aca="false">IF(B51="","",AB51/(1-Parâmetros!$B$7))</f>
        <v/>
      </c>
      <c r="AD51" s="11" t="str">
        <f aca="false">IF(B51="","",MAX(AA51*Parâmetros!$B$6,AC51))</f>
        <v/>
      </c>
      <c r="AE51" s="12" t="str">
        <f aca="false">IF(B51="","",(AD51-AB51)/AD51)</f>
        <v/>
      </c>
      <c r="AF51" s="5" t="str">
        <f aca="false">IF(B51="","",AA51/Parâmetros!$B$10)</f>
        <v/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5" t="str">
        <f aca="false">IF(B52="","",Parâmetros!$B$16*C52)</f>
        <v/>
      </c>
      <c r="O52" s="5" t="str">
        <f aca="false">IF(B52="","",Parâmetros!$B$17*C52)</f>
        <v/>
      </c>
      <c r="P52" s="5" t="str">
        <f aca="false">IF(B52="","",D52*Parâmetros!$B$18*C52)</f>
        <v/>
      </c>
      <c r="Q52" s="5" t="str">
        <f aca="false">IF(B52="","",E52*Parâmetros!$B$19*C52)</f>
        <v/>
      </c>
      <c r="R52" s="5" t="str">
        <f aca="false">IF(B52="","",F52*Parâmetros!$B$20*C52)</f>
        <v/>
      </c>
      <c r="S52" s="5" t="str">
        <f aca="false">IF(B52="","",(G52*Parâmetros!$B$21+H52*Parâmetros!$B$22)*C52)</f>
        <v/>
      </c>
      <c r="T52" s="5" t="str">
        <f aca="false">IF(B52="","",I52*Parâmetros!$B$23*C52)</f>
        <v/>
      </c>
      <c r="U52" s="5" t="str">
        <f aca="false">IF(B52="","",J52*Parâmetros!$B$24*C52)</f>
        <v/>
      </c>
      <c r="V52" s="5" t="str">
        <f aca="false">IF(B52="","",K52*Parâmetros!$B$25*C52)</f>
        <v/>
      </c>
      <c r="W52" s="5" t="str">
        <f aca="false">IF(B52="","",L52*Parâmetros!$B$26*C52)</f>
        <v/>
      </c>
      <c r="X52" s="5" t="str">
        <f aca="false">IF(B52="","",SUM(N52:W52)+M52)</f>
        <v/>
      </c>
      <c r="Y52" s="5" t="str">
        <f aca="false">IF(B52="","",X52*Parâmetros!$B$8)</f>
        <v/>
      </c>
      <c r="Z52" s="5" t="str">
        <f aca="false">IF(B52="","",X52*Parâmetros!$B$9)</f>
        <v/>
      </c>
      <c r="AA52" s="5" t="str">
        <f aca="false">IF(B52="","",SUM(X52:Z52))</f>
        <v/>
      </c>
      <c r="AB52" s="11" t="str">
        <f aca="false">IF(B52="","",AA52*Parâmetros!$B$5)</f>
        <v/>
      </c>
      <c r="AC52" s="11" t="str">
        <f aca="false">IF(B52="","",AB52/(1-Parâmetros!$B$7))</f>
        <v/>
      </c>
      <c r="AD52" s="11" t="str">
        <f aca="false">IF(B52="","",MAX(AA52*Parâmetros!$B$6,AC52))</f>
        <v/>
      </c>
      <c r="AE52" s="12" t="str">
        <f aca="false">IF(B52="","",(AD52-AB52)/AD52)</f>
        <v/>
      </c>
      <c r="AF52" s="5" t="str">
        <f aca="false">IF(B52="","",AA52/Parâmetros!$B$10)</f>
        <v/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5" t="str">
        <f aca="false">IF(B53="","",Parâmetros!$B$16*C53)</f>
        <v/>
      </c>
      <c r="O53" s="5" t="str">
        <f aca="false">IF(B53="","",Parâmetros!$B$17*C53)</f>
        <v/>
      </c>
      <c r="P53" s="5" t="str">
        <f aca="false">IF(B53="","",D53*Parâmetros!$B$18*C53)</f>
        <v/>
      </c>
      <c r="Q53" s="5" t="str">
        <f aca="false">IF(B53="","",E53*Parâmetros!$B$19*C53)</f>
        <v/>
      </c>
      <c r="R53" s="5" t="str">
        <f aca="false">IF(B53="","",F53*Parâmetros!$B$20*C53)</f>
        <v/>
      </c>
      <c r="S53" s="5" t="str">
        <f aca="false">IF(B53="","",(G53*Parâmetros!$B$21+H53*Parâmetros!$B$22)*C53)</f>
        <v/>
      </c>
      <c r="T53" s="5" t="str">
        <f aca="false">IF(B53="","",I53*Parâmetros!$B$23*C53)</f>
        <v/>
      </c>
      <c r="U53" s="5" t="str">
        <f aca="false">IF(B53="","",J53*Parâmetros!$B$24*C53)</f>
        <v/>
      </c>
      <c r="V53" s="5" t="str">
        <f aca="false">IF(B53="","",K53*Parâmetros!$B$25*C53)</f>
        <v/>
      </c>
      <c r="W53" s="5" t="str">
        <f aca="false">IF(B53="","",L53*Parâmetros!$B$26*C53)</f>
        <v/>
      </c>
      <c r="X53" s="5" t="str">
        <f aca="false">IF(B53="","",SUM(N53:W53)+M53)</f>
        <v/>
      </c>
      <c r="Y53" s="5" t="str">
        <f aca="false">IF(B53="","",X53*Parâmetros!$B$8)</f>
        <v/>
      </c>
      <c r="Z53" s="5" t="str">
        <f aca="false">IF(B53="","",X53*Parâmetros!$B$9)</f>
        <v/>
      </c>
      <c r="AA53" s="5" t="str">
        <f aca="false">IF(B53="","",SUM(X53:Z53))</f>
        <v/>
      </c>
      <c r="AB53" s="11" t="str">
        <f aca="false">IF(B53="","",AA53*Parâmetros!$B$5)</f>
        <v/>
      </c>
      <c r="AC53" s="11" t="str">
        <f aca="false">IF(B53="","",AB53/(1-Parâmetros!$B$7))</f>
        <v/>
      </c>
      <c r="AD53" s="11" t="str">
        <f aca="false">IF(B53="","",MAX(AA53*Parâmetros!$B$6,AC53))</f>
        <v/>
      </c>
      <c r="AE53" s="12" t="str">
        <f aca="false">IF(B53="","",(AD53-AB53)/AD53)</f>
        <v/>
      </c>
      <c r="AF53" s="5" t="str">
        <f aca="false">IF(B53="","",AA53/Parâmetros!$B$10)</f>
        <v/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5" t="str">
        <f aca="false">IF(B54="","",Parâmetros!$B$16*C54)</f>
        <v/>
      </c>
      <c r="O54" s="5" t="str">
        <f aca="false">IF(B54="","",Parâmetros!$B$17*C54)</f>
        <v/>
      </c>
      <c r="P54" s="5" t="str">
        <f aca="false">IF(B54="","",D54*Parâmetros!$B$18*C54)</f>
        <v/>
      </c>
      <c r="Q54" s="5" t="str">
        <f aca="false">IF(B54="","",E54*Parâmetros!$B$19*C54)</f>
        <v/>
      </c>
      <c r="R54" s="5" t="str">
        <f aca="false">IF(B54="","",F54*Parâmetros!$B$20*C54)</f>
        <v/>
      </c>
      <c r="S54" s="5" t="str">
        <f aca="false">IF(B54="","",(G54*Parâmetros!$B$21+H54*Parâmetros!$B$22)*C54)</f>
        <v/>
      </c>
      <c r="T54" s="5" t="str">
        <f aca="false">IF(B54="","",I54*Parâmetros!$B$23*C54)</f>
        <v/>
      </c>
      <c r="U54" s="5" t="str">
        <f aca="false">IF(B54="","",J54*Parâmetros!$B$24*C54)</f>
        <v/>
      </c>
      <c r="V54" s="5" t="str">
        <f aca="false">IF(B54="","",K54*Parâmetros!$B$25*C54)</f>
        <v/>
      </c>
      <c r="W54" s="5" t="str">
        <f aca="false">IF(B54="","",L54*Parâmetros!$B$26*C54)</f>
        <v/>
      </c>
      <c r="X54" s="5" t="str">
        <f aca="false">IF(B54="","",SUM(N54:W54)+M54)</f>
        <v/>
      </c>
      <c r="Y54" s="5" t="str">
        <f aca="false">IF(B54="","",X54*Parâmetros!$B$8)</f>
        <v/>
      </c>
      <c r="Z54" s="5" t="str">
        <f aca="false">IF(B54="","",X54*Parâmetros!$B$9)</f>
        <v/>
      </c>
      <c r="AA54" s="5" t="str">
        <f aca="false">IF(B54="","",SUM(X54:Z54))</f>
        <v/>
      </c>
      <c r="AB54" s="11" t="str">
        <f aca="false">IF(B54="","",AA54*Parâmetros!$B$5)</f>
        <v/>
      </c>
      <c r="AC54" s="11" t="str">
        <f aca="false">IF(B54="","",AB54/(1-Parâmetros!$B$7))</f>
        <v/>
      </c>
      <c r="AD54" s="11" t="str">
        <f aca="false">IF(B54="","",MAX(AA54*Parâmetros!$B$6,AC54))</f>
        <v/>
      </c>
      <c r="AE54" s="12" t="str">
        <f aca="false">IF(B54="","",(AD54-AB54)/AD54)</f>
        <v/>
      </c>
      <c r="AF54" s="5" t="str">
        <f aca="false">IF(B54="","",AA54/Parâmetros!$B$10)</f>
        <v/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C5:C54" type="list">
      <formula1>"0.75,1,1.5,2"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42" hidden="false" customHeight="true" outlineLevel="0" collapsed="false">
      <c r="A4" s="4" t="s">
        <v>76</v>
      </c>
      <c r="B4" s="4" t="s">
        <v>77</v>
      </c>
      <c r="C4" s="4" t="s">
        <v>226</v>
      </c>
      <c r="D4" s="4" t="s">
        <v>227</v>
      </c>
      <c r="E4" s="4" t="s">
        <v>228</v>
      </c>
      <c r="F4" s="4" t="s">
        <v>229</v>
      </c>
      <c r="G4" s="4" t="s">
        <v>230</v>
      </c>
      <c r="H4" s="4" t="s">
        <v>173</v>
      </c>
    </row>
    <row r="5" customFormat="false" ht="15" hidden="false" customHeight="false" outlineLevel="0" collapsed="false">
      <c r="A5" s="5" t="s">
        <v>231</v>
      </c>
      <c r="B5" s="5" t="s">
        <v>232</v>
      </c>
      <c r="C5" s="5" t="s">
        <v>233</v>
      </c>
      <c r="D5" s="5" t="s">
        <v>234</v>
      </c>
      <c r="E5" s="8"/>
      <c r="F5" s="8"/>
      <c r="G5" s="8"/>
      <c r="H5" s="8"/>
    </row>
    <row r="6" customFormat="false" ht="15" hidden="false" customHeight="false" outlineLevel="0" collapsed="false">
      <c r="A6" s="5" t="s">
        <v>231</v>
      </c>
      <c r="B6" s="5" t="s">
        <v>235</v>
      </c>
      <c r="C6" s="5" t="s">
        <v>236</v>
      </c>
      <c r="D6" s="5" t="s">
        <v>234</v>
      </c>
      <c r="E6" s="8"/>
      <c r="F6" s="8"/>
      <c r="G6" s="8"/>
      <c r="H6" s="8"/>
    </row>
    <row r="7" customFormat="false" ht="15" hidden="false" customHeight="false" outlineLevel="0" collapsed="false">
      <c r="A7" s="5" t="s">
        <v>237</v>
      </c>
      <c r="B7" s="5" t="s">
        <v>238</v>
      </c>
      <c r="C7" s="5" t="s">
        <v>239</v>
      </c>
      <c r="D7" s="5" t="s">
        <v>234</v>
      </c>
      <c r="E7" s="8"/>
      <c r="F7" s="8"/>
      <c r="G7" s="8"/>
      <c r="H7" s="8"/>
    </row>
    <row r="8" customFormat="false" ht="15" hidden="false" customHeight="false" outlineLevel="0" collapsed="false">
      <c r="A8" s="5" t="s">
        <v>112</v>
      </c>
      <c r="B8" s="5" t="s">
        <v>240</v>
      </c>
      <c r="C8" s="5" t="s">
        <v>241</v>
      </c>
      <c r="D8" s="5" t="s">
        <v>234</v>
      </c>
      <c r="E8" s="8"/>
      <c r="F8" s="8"/>
      <c r="G8" s="8"/>
      <c r="H8" s="8"/>
    </row>
    <row r="9" customFormat="false" ht="15" hidden="false" customHeight="false" outlineLevel="0" collapsed="false">
      <c r="A9" s="5" t="s">
        <v>195</v>
      </c>
      <c r="B9" s="5" t="s">
        <v>242</v>
      </c>
      <c r="C9" s="5" t="s">
        <v>243</v>
      </c>
      <c r="D9" s="5" t="s">
        <v>234</v>
      </c>
      <c r="E9" s="8"/>
      <c r="F9" s="8"/>
      <c r="G9" s="8"/>
      <c r="H9" s="8"/>
    </row>
    <row r="10" customFormat="false" ht="15" hidden="false" customHeight="false" outlineLevel="0" collapsed="false">
      <c r="A10" s="5" t="s">
        <v>196</v>
      </c>
      <c r="B10" s="5" t="s">
        <v>244</v>
      </c>
      <c r="C10" s="5" t="s">
        <v>245</v>
      </c>
      <c r="D10" s="5" t="s">
        <v>234</v>
      </c>
      <c r="E10" s="8"/>
      <c r="F10" s="8"/>
      <c r="G10" s="8"/>
      <c r="H10" s="8"/>
    </row>
    <row r="11" customFormat="false" ht="15" hidden="false" customHeight="false" outlineLevel="0" collapsed="false">
      <c r="A11" s="5" t="s">
        <v>246</v>
      </c>
      <c r="B11" s="5" t="s">
        <v>247</v>
      </c>
      <c r="C11" s="5" t="s">
        <v>248</v>
      </c>
      <c r="D11" s="5" t="s">
        <v>249</v>
      </c>
      <c r="E11" s="8"/>
      <c r="F11" s="8"/>
      <c r="G11" s="8"/>
      <c r="H11" s="8"/>
    </row>
    <row r="12" customFormat="false" ht="15" hidden="false" customHeight="false" outlineLevel="0" collapsed="false">
      <c r="A12" s="5" t="s">
        <v>250</v>
      </c>
      <c r="B12" s="5" t="s">
        <v>251</v>
      </c>
      <c r="C12" s="5" t="s">
        <v>252</v>
      </c>
      <c r="D12" s="5" t="s">
        <v>234</v>
      </c>
      <c r="E12" s="8"/>
      <c r="F12" s="8"/>
      <c r="G12" s="8"/>
      <c r="H12" s="8"/>
    </row>
    <row r="13" customFormat="false" ht="15" hidden="false" customHeight="false" outlineLevel="0" collapsed="false">
      <c r="A13" s="5" t="s">
        <v>129</v>
      </c>
      <c r="B13" s="5" t="s">
        <v>253</v>
      </c>
      <c r="C13" s="5" t="s">
        <v>254</v>
      </c>
      <c r="D13" s="5" t="s">
        <v>234</v>
      </c>
      <c r="E13" s="8"/>
      <c r="F13" s="8"/>
      <c r="G13" s="8"/>
      <c r="H13" s="8"/>
    </row>
    <row r="14" customFormat="false" ht="15" hidden="false" customHeight="false" outlineLevel="0" collapsed="false">
      <c r="A14" s="5" t="s">
        <v>131</v>
      </c>
      <c r="B14" s="5" t="s">
        <v>255</v>
      </c>
      <c r="C14" s="5" t="s">
        <v>256</v>
      </c>
      <c r="D14" s="5" t="s">
        <v>234</v>
      </c>
      <c r="E14" s="8"/>
      <c r="F14" s="8"/>
      <c r="G14" s="8"/>
      <c r="H14" s="8"/>
    </row>
    <row r="15" customFormat="false" ht="15" hidden="false" customHeight="false" outlineLevel="0" collapsed="false">
      <c r="A15" s="5" t="s">
        <v>257</v>
      </c>
      <c r="B15" s="5" t="s">
        <v>258</v>
      </c>
      <c r="C15" s="5" t="s">
        <v>259</v>
      </c>
      <c r="D15" s="5" t="s">
        <v>249</v>
      </c>
      <c r="E15" s="8"/>
      <c r="F15" s="8"/>
      <c r="G15" s="8"/>
      <c r="H15" s="8"/>
    </row>
    <row r="16" customFormat="false" ht="15" hidden="false" customHeight="false" outlineLevel="0" collapsed="false">
      <c r="A16" s="5" t="s">
        <v>124</v>
      </c>
      <c r="B16" s="5" t="s">
        <v>260</v>
      </c>
      <c r="C16" s="5" t="s">
        <v>261</v>
      </c>
      <c r="D16" s="5" t="s">
        <v>234</v>
      </c>
      <c r="E16" s="8"/>
      <c r="F16" s="8"/>
      <c r="G16" s="8"/>
      <c r="H16" s="8"/>
    </row>
    <row r="17" customFormat="false" ht="15" hidden="false" customHeight="false" outlineLevel="0" collapsed="false">
      <c r="A17" s="5" t="s">
        <v>262</v>
      </c>
      <c r="B17" s="5" t="s">
        <v>263</v>
      </c>
      <c r="C17" s="5" t="s">
        <v>264</v>
      </c>
      <c r="D17" s="5" t="s">
        <v>234</v>
      </c>
      <c r="E17" s="8"/>
      <c r="F17" s="8"/>
      <c r="G17" s="8"/>
      <c r="H17" s="8"/>
    </row>
    <row r="18" customFormat="false" ht="15" hidden="false" customHeight="false" outlineLevel="0" collapsed="false">
      <c r="A18" s="5" t="s">
        <v>265</v>
      </c>
      <c r="B18" s="5" t="s">
        <v>266</v>
      </c>
      <c r="C18" s="5" t="s">
        <v>267</v>
      </c>
      <c r="D18" s="5" t="s">
        <v>249</v>
      </c>
      <c r="E18" s="8"/>
      <c r="F18" s="8"/>
      <c r="G18" s="8"/>
      <c r="H18" s="8"/>
    </row>
    <row r="19" customFormat="false" ht="15" hidden="false" customHeight="false" outlineLevel="0" collapsed="false">
      <c r="A19" s="5" t="s">
        <v>268</v>
      </c>
      <c r="B19" s="5" t="s">
        <v>269</v>
      </c>
      <c r="C19" s="5" t="s">
        <v>270</v>
      </c>
      <c r="D19" s="5" t="s">
        <v>249</v>
      </c>
      <c r="E19" s="8"/>
      <c r="F19" s="8"/>
      <c r="G19" s="8"/>
      <c r="H19" s="8"/>
    </row>
    <row r="20" customFormat="false" ht="15" hidden="false" customHeight="false" outlineLevel="0" collapsed="false">
      <c r="A20" s="5" t="s">
        <v>271</v>
      </c>
      <c r="B20" s="5" t="s">
        <v>272</v>
      </c>
      <c r="C20" s="5" t="s">
        <v>273</v>
      </c>
      <c r="D20" s="5" t="s">
        <v>234</v>
      </c>
      <c r="E20" s="8"/>
      <c r="F20" s="8"/>
      <c r="G20" s="8"/>
      <c r="H20" s="8"/>
    </row>
    <row r="21" customFormat="false" ht="15" hidden="false" customHeight="false" outlineLevel="0" collapsed="false">
      <c r="A21" s="5" t="s">
        <v>274</v>
      </c>
      <c r="B21" s="5" t="s">
        <v>275</v>
      </c>
      <c r="C21" s="5" t="s">
        <v>276</v>
      </c>
      <c r="D21" s="5" t="s">
        <v>234</v>
      </c>
      <c r="E21" s="8"/>
      <c r="F21" s="8"/>
      <c r="G21" s="8"/>
      <c r="H21" s="8"/>
    </row>
    <row r="22" customFormat="false" ht="15" hidden="false" customHeight="false" outlineLevel="0" collapsed="false">
      <c r="A22" s="5" t="s">
        <v>134</v>
      </c>
      <c r="B22" s="5" t="s">
        <v>277</v>
      </c>
      <c r="C22" s="5" t="s">
        <v>278</v>
      </c>
      <c r="D22" s="5" t="s">
        <v>234</v>
      </c>
      <c r="E22" s="8"/>
      <c r="F22" s="8"/>
      <c r="G22" s="8"/>
      <c r="H22" s="8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22" type="list">
      <formula1>"Não iniciado,Aguardando cliente,Em validação,Aprovado,Não aplicável"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  <col collapsed="false" customWidth="true" hidden="false" outlineLevel="0" max="12" min="6" style="0" width="30"/>
    <col collapsed="false" customWidth="true" hidden="false" outlineLevel="0" max="18" min="13" style="0" width="20"/>
    <col collapsed="false" customWidth="true" hidden="false" outlineLevel="0" max="19" min="19" style="0" width="30"/>
    <col collapsed="false" customWidth="true" hidden="false" outlineLevel="0" max="21" min="20" style="0" width="20"/>
  </cols>
  <sheetData>
    <row r="1" customFormat="false" ht="31.5" hidden="false" customHeight="true" outlineLevel="0" collapsed="false">
      <c r="A1" s="1" t="s">
        <v>279</v>
      </c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31.5" hidden="false" customHeight="true" outlineLevel="0" collapsed="false">
      <c r="A2" s="2" t="s">
        <v>280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42" hidden="false" customHeight="true" outlineLevel="0" collapsed="false">
      <c r="A4" s="4" t="s">
        <v>149</v>
      </c>
      <c r="B4" s="4" t="s">
        <v>281</v>
      </c>
      <c r="C4" s="4" t="s">
        <v>282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287</v>
      </c>
      <c r="I4" s="4" t="s">
        <v>288</v>
      </c>
      <c r="J4" s="4" t="s">
        <v>289</v>
      </c>
      <c r="K4" s="4" t="s">
        <v>290</v>
      </c>
      <c r="L4" s="4" t="s">
        <v>257</v>
      </c>
      <c r="M4" s="4" t="s">
        <v>291</v>
      </c>
      <c r="N4" s="4" t="s">
        <v>292</v>
      </c>
      <c r="O4" s="4" t="s">
        <v>293</v>
      </c>
      <c r="P4" s="4" t="s">
        <v>294</v>
      </c>
      <c r="Q4" s="4" t="s">
        <v>237</v>
      </c>
      <c r="R4" s="4" t="s">
        <v>295</v>
      </c>
      <c r="S4" s="4" t="s">
        <v>296</v>
      </c>
      <c r="T4" s="4" t="s">
        <v>297</v>
      </c>
      <c r="U4" s="4" t="s">
        <v>173</v>
      </c>
    </row>
    <row r="5" customFormat="false" ht="23.85" hidden="false" customHeight="false" outlineLevel="0" collapsed="false">
      <c r="A5" s="8" t="s">
        <v>178</v>
      </c>
      <c r="B5" s="8" t="s">
        <v>298</v>
      </c>
      <c r="C5" s="8" t="s">
        <v>299</v>
      </c>
      <c r="D5" s="8" t="s">
        <v>300</v>
      </c>
      <c r="E5" s="8" t="s">
        <v>301</v>
      </c>
      <c r="F5" s="8" t="s">
        <v>302</v>
      </c>
      <c r="G5" s="8" t="s">
        <v>303</v>
      </c>
      <c r="H5" s="8" t="s">
        <v>304</v>
      </c>
      <c r="I5" s="8" t="s">
        <v>305</v>
      </c>
      <c r="J5" s="8" t="s">
        <v>306</v>
      </c>
      <c r="K5" s="8" t="s">
        <v>307</v>
      </c>
      <c r="L5" s="8" t="s">
        <v>308</v>
      </c>
      <c r="M5" s="8" t="s">
        <v>309</v>
      </c>
      <c r="N5" s="8" t="s">
        <v>310</v>
      </c>
      <c r="O5" s="8" t="s">
        <v>311</v>
      </c>
      <c r="P5" s="8" t="s">
        <v>312</v>
      </c>
      <c r="Q5" s="8" t="n">
        <v>120</v>
      </c>
      <c r="R5" s="8" t="n">
        <v>180</v>
      </c>
      <c r="S5" s="8" t="s">
        <v>313</v>
      </c>
      <c r="T5" s="8" t="s">
        <v>314</v>
      </c>
      <c r="U5" s="8" t="s">
        <v>315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U5:U54" type="list">
      <formula1>"Planejado,Aguardando cliente,Em construção,Em teste,Homologado,Go-live,Pausado"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6" min="1" style="0" width="18"/>
  </cols>
  <sheetData>
    <row r="1" customFormat="false" ht="31.5" hidden="false" customHeight="true" outlineLevel="0" collapsed="false">
      <c r="A1" s="1" t="s">
        <v>316</v>
      </c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31.5" hidden="false" customHeight="true" outlineLevel="0" collapsed="false">
      <c r="A2" s="2" t="s">
        <v>317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42" hidden="false" customHeight="true" outlineLevel="0" collapsed="false">
      <c r="A4" s="4" t="s">
        <v>149</v>
      </c>
      <c r="B4" s="4" t="s">
        <v>318</v>
      </c>
      <c r="C4" s="4" t="s">
        <v>319</v>
      </c>
      <c r="D4" s="4" t="s">
        <v>320</v>
      </c>
      <c r="E4" s="4" t="s">
        <v>321</v>
      </c>
      <c r="F4" s="4" t="s">
        <v>322</v>
      </c>
      <c r="G4" s="4" t="s">
        <v>323</v>
      </c>
      <c r="H4" s="4" t="s">
        <v>324</v>
      </c>
      <c r="I4" s="4" t="s">
        <v>325</v>
      </c>
      <c r="J4" s="4" t="s">
        <v>326</v>
      </c>
      <c r="K4" s="4" t="s">
        <v>327</v>
      </c>
      <c r="L4" s="4" t="s">
        <v>328</v>
      </c>
      <c r="M4" s="4" t="s">
        <v>329</v>
      </c>
      <c r="N4" s="4" t="s">
        <v>330</v>
      </c>
      <c r="O4" s="4" t="s">
        <v>331</v>
      </c>
      <c r="P4" s="4" t="s">
        <v>332</v>
      </c>
      <c r="Q4" s="4" t="s">
        <v>333</v>
      </c>
      <c r="R4" s="4" t="s">
        <v>334</v>
      </c>
      <c r="S4" s="4" t="s">
        <v>335</v>
      </c>
      <c r="T4" s="4" t="s">
        <v>336</v>
      </c>
      <c r="U4" s="4" t="s">
        <v>337</v>
      </c>
      <c r="V4" s="4" t="s">
        <v>338</v>
      </c>
      <c r="W4" s="4" t="s">
        <v>339</v>
      </c>
      <c r="X4" s="4" t="s">
        <v>340</v>
      </c>
      <c r="Y4" s="4" t="s">
        <v>341</v>
      </c>
      <c r="Z4" s="4" t="s">
        <v>342</v>
      </c>
    </row>
    <row r="5" customFormat="false" ht="15" hidden="false" customHeight="false" outlineLevel="0" collapsed="false">
      <c r="A5" s="8" t="s">
        <v>178</v>
      </c>
      <c r="B5" s="8" t="s">
        <v>343</v>
      </c>
      <c r="C5" s="8" t="n">
        <v>1</v>
      </c>
      <c r="D5" s="8" t="n">
        <v>1200</v>
      </c>
      <c r="E5" s="8" t="n">
        <v>8</v>
      </c>
      <c r="F5" s="8" t="n">
        <v>700</v>
      </c>
      <c r="G5" s="8" t="n">
        <v>180</v>
      </c>
      <c r="H5" s="8" t="n">
        <v>2</v>
      </c>
      <c r="I5" s="8" t="n">
        <v>4</v>
      </c>
      <c r="J5" s="8" t="n">
        <v>4</v>
      </c>
      <c r="K5" s="8" t="n">
        <v>3</v>
      </c>
      <c r="L5" s="8" t="n">
        <v>2</v>
      </c>
      <c r="M5" s="8" t="n">
        <v>0</v>
      </c>
      <c r="N5" s="5" t="n">
        <f aca="false">SUM(H5:M5)</f>
        <v>15</v>
      </c>
      <c r="O5" s="11" t="n">
        <f aca="false">N5*Parâmetros!$B$5</f>
        <v>1800</v>
      </c>
      <c r="P5" s="5" t="n">
        <f aca="false">D5*E5*F5/1000000</f>
        <v>6.72</v>
      </c>
      <c r="Q5" s="5" t="n">
        <f aca="false">D5*E5*G5/1000000</f>
        <v>1.728</v>
      </c>
      <c r="R5" s="11" t="n">
        <f aca="false">(P5*Parâmetros!$B$14+Q5*Parâmetros!$B$15)*Parâmetros!$B$13*(1+Parâmetros!$B$12)</f>
        <v>97.4688</v>
      </c>
      <c r="S5" s="6" t="n">
        <v>900</v>
      </c>
      <c r="T5" s="11" t="n">
        <f aca="false">O5+R5+S5</f>
        <v>2797.4688</v>
      </c>
      <c r="U5" s="11" t="n">
        <f aca="false">T5/(1-Parâmetros!$B$7)</f>
        <v>6993.672</v>
      </c>
      <c r="V5" s="6" t="n">
        <v>25000</v>
      </c>
      <c r="W5" s="11" t="n">
        <f aca="false">V5*Parâmetros!$B$11</f>
        <v>2500</v>
      </c>
      <c r="X5" s="11" t="n">
        <f aca="false">MAX(U5,W5)</f>
        <v>6993.672</v>
      </c>
      <c r="Y5" s="6" t="n">
        <v>6500</v>
      </c>
      <c r="Z5" s="12" t="n">
        <f aca="false">(Y5-T5)/Y5</f>
        <v>0.569620184615385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5" t="str">
        <f aca="false">IF(A6="","",SUM(H6:M6))</f>
        <v/>
      </c>
      <c r="O6" s="11" t="str">
        <f aca="false">IF(A6="","",N6*Parâmetros!$B$5)</f>
        <v/>
      </c>
      <c r="P6" s="5" t="str">
        <f aca="false">IF(A6="","",D6*E6*F6/1000000)</f>
        <v/>
      </c>
      <c r="Q6" s="5" t="str">
        <f aca="false">IF(A6="","",D6*E6*G6/1000000)</f>
        <v/>
      </c>
      <c r="R6" s="11" t="str">
        <f aca="false">IF(A6="","",(P6*Parâmetros!$B$14+Q6*Parâmetros!$B$15)*Parâmetros!$B$13*(1+Parâmetros!$B$12))</f>
        <v/>
      </c>
      <c r="S6" s="6"/>
      <c r="T6" s="11" t="str">
        <f aca="false">IF(A6="","",O6+R6+S6)</f>
        <v/>
      </c>
      <c r="U6" s="11" t="str">
        <f aca="false">IF(A6="","",T6/(1-Parâmetros!$B$7))</f>
        <v/>
      </c>
      <c r="V6" s="6"/>
      <c r="W6" s="11" t="str">
        <f aca="false">IF(A6="","",V6*Parâmetros!$B$11)</f>
        <v/>
      </c>
      <c r="X6" s="11" t="str">
        <f aca="false">IF(A6="","",MAX(U6,W6))</f>
        <v/>
      </c>
      <c r="Y6" s="6"/>
      <c r="Z6" s="12" t="str">
        <f aca="false">IF(A6="","",(Y6-T6)/Y6)</f>
        <v/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" t="str">
        <f aca="false">IF(A7="","",SUM(H7:M7))</f>
        <v/>
      </c>
      <c r="O7" s="11" t="str">
        <f aca="false">IF(A7="","",N7*Parâmetros!$B$5)</f>
        <v/>
      </c>
      <c r="P7" s="5" t="str">
        <f aca="false">IF(A7="","",D7*E7*F7/1000000)</f>
        <v/>
      </c>
      <c r="Q7" s="5" t="str">
        <f aca="false">IF(A7="","",D7*E7*G7/1000000)</f>
        <v/>
      </c>
      <c r="R7" s="11" t="str">
        <f aca="false">IF(A7="","",(P7*Parâmetros!$B$14+Q7*Parâmetros!$B$15)*Parâmetros!$B$13*(1+Parâmetros!$B$12))</f>
        <v/>
      </c>
      <c r="S7" s="6"/>
      <c r="T7" s="11" t="str">
        <f aca="false">IF(A7="","",O7+R7+S7)</f>
        <v/>
      </c>
      <c r="U7" s="11" t="str">
        <f aca="false">IF(A7="","",T7/(1-Parâmetros!$B$7))</f>
        <v/>
      </c>
      <c r="V7" s="6"/>
      <c r="W7" s="11" t="str">
        <f aca="false">IF(A7="","",V7*Parâmetros!$B$11)</f>
        <v/>
      </c>
      <c r="X7" s="11" t="str">
        <f aca="false">IF(A7="","",MAX(U7,W7))</f>
        <v/>
      </c>
      <c r="Y7" s="6"/>
      <c r="Z7" s="12" t="str">
        <f aca="false">IF(A7="","",(Y7-T7)/Y7)</f>
        <v/>
      </c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5" t="str">
        <f aca="false">IF(A8="","",SUM(H8:M8))</f>
        <v/>
      </c>
      <c r="O8" s="11" t="str">
        <f aca="false">IF(A8="","",N8*Parâmetros!$B$5)</f>
        <v/>
      </c>
      <c r="P8" s="5" t="str">
        <f aca="false">IF(A8="","",D8*E8*F8/1000000)</f>
        <v/>
      </c>
      <c r="Q8" s="5" t="str">
        <f aca="false">IF(A8="","",D8*E8*G8/1000000)</f>
        <v/>
      </c>
      <c r="R8" s="11" t="str">
        <f aca="false">IF(A8="","",(P8*Parâmetros!$B$14+Q8*Parâmetros!$B$15)*Parâmetros!$B$13*(1+Parâmetros!$B$12))</f>
        <v/>
      </c>
      <c r="S8" s="6"/>
      <c r="T8" s="11" t="str">
        <f aca="false">IF(A8="","",O8+R8+S8)</f>
        <v/>
      </c>
      <c r="U8" s="11" t="str">
        <f aca="false">IF(A8="","",T8/(1-Parâmetros!$B$7))</f>
        <v/>
      </c>
      <c r="V8" s="6"/>
      <c r="W8" s="11" t="str">
        <f aca="false">IF(A8="","",V8*Parâmetros!$B$11)</f>
        <v/>
      </c>
      <c r="X8" s="11" t="str">
        <f aca="false">IF(A8="","",MAX(U8,W8))</f>
        <v/>
      </c>
      <c r="Y8" s="6"/>
      <c r="Z8" s="12" t="str">
        <f aca="false">IF(A8="","",(Y8-T8)/Y8)</f>
        <v/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5" t="str">
        <f aca="false">IF(A9="","",SUM(H9:M9))</f>
        <v/>
      </c>
      <c r="O9" s="11" t="str">
        <f aca="false">IF(A9="","",N9*Parâmetros!$B$5)</f>
        <v/>
      </c>
      <c r="P9" s="5" t="str">
        <f aca="false">IF(A9="","",D9*E9*F9/1000000)</f>
        <v/>
      </c>
      <c r="Q9" s="5" t="str">
        <f aca="false">IF(A9="","",D9*E9*G9/1000000)</f>
        <v/>
      </c>
      <c r="R9" s="11" t="str">
        <f aca="false">IF(A9="","",(P9*Parâmetros!$B$14+Q9*Parâmetros!$B$15)*Parâmetros!$B$13*(1+Parâmetros!$B$12))</f>
        <v/>
      </c>
      <c r="S9" s="6"/>
      <c r="T9" s="11" t="str">
        <f aca="false">IF(A9="","",O9+R9+S9)</f>
        <v/>
      </c>
      <c r="U9" s="11" t="str">
        <f aca="false">IF(A9="","",T9/(1-Parâmetros!$B$7))</f>
        <v/>
      </c>
      <c r="V9" s="6"/>
      <c r="W9" s="11" t="str">
        <f aca="false">IF(A9="","",V9*Parâmetros!$B$11)</f>
        <v/>
      </c>
      <c r="X9" s="11" t="str">
        <f aca="false">IF(A9="","",MAX(U9,W9))</f>
        <v/>
      </c>
      <c r="Y9" s="6"/>
      <c r="Z9" s="12" t="str">
        <f aca="false">IF(A9="","",(Y9-T9)/Y9)</f>
        <v/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5" t="str">
        <f aca="false">IF(A10="","",SUM(H10:M10))</f>
        <v/>
      </c>
      <c r="O10" s="11" t="str">
        <f aca="false">IF(A10="","",N10*Parâmetros!$B$5)</f>
        <v/>
      </c>
      <c r="P10" s="5" t="str">
        <f aca="false">IF(A10="","",D10*E10*F10/1000000)</f>
        <v/>
      </c>
      <c r="Q10" s="5" t="str">
        <f aca="false">IF(A10="","",D10*E10*G10/1000000)</f>
        <v/>
      </c>
      <c r="R10" s="11" t="str">
        <f aca="false">IF(A10="","",(P10*Parâmetros!$B$14+Q10*Parâmetros!$B$15)*Parâmetros!$B$13*(1+Parâmetros!$B$12))</f>
        <v/>
      </c>
      <c r="S10" s="6"/>
      <c r="T10" s="11" t="str">
        <f aca="false">IF(A10="","",O10+R10+S10)</f>
        <v/>
      </c>
      <c r="U10" s="11" t="str">
        <f aca="false">IF(A10="","",T10/(1-Parâmetros!$B$7))</f>
        <v/>
      </c>
      <c r="V10" s="6"/>
      <c r="W10" s="11" t="str">
        <f aca="false">IF(A10="","",V10*Parâmetros!$B$11)</f>
        <v/>
      </c>
      <c r="X10" s="11" t="str">
        <f aca="false">IF(A10="","",MAX(U10,W10))</f>
        <v/>
      </c>
      <c r="Y10" s="6"/>
      <c r="Z10" s="12" t="str">
        <f aca="false">IF(A10="","",(Y10-T10)/Y10)</f>
        <v/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5" t="str">
        <f aca="false">IF(A11="","",SUM(H11:M11))</f>
        <v/>
      </c>
      <c r="O11" s="11" t="str">
        <f aca="false">IF(A11="","",N11*Parâmetros!$B$5)</f>
        <v/>
      </c>
      <c r="P11" s="5" t="str">
        <f aca="false">IF(A11="","",D11*E11*F11/1000000)</f>
        <v/>
      </c>
      <c r="Q11" s="5" t="str">
        <f aca="false">IF(A11="","",D11*E11*G11/1000000)</f>
        <v/>
      </c>
      <c r="R11" s="11" t="str">
        <f aca="false">IF(A11="","",(P11*Parâmetros!$B$14+Q11*Parâmetros!$B$15)*Parâmetros!$B$13*(1+Parâmetros!$B$12))</f>
        <v/>
      </c>
      <c r="S11" s="6"/>
      <c r="T11" s="11" t="str">
        <f aca="false">IF(A11="","",O11+R11+S11)</f>
        <v/>
      </c>
      <c r="U11" s="11" t="str">
        <f aca="false">IF(A11="","",T11/(1-Parâmetros!$B$7))</f>
        <v/>
      </c>
      <c r="V11" s="6"/>
      <c r="W11" s="11" t="str">
        <f aca="false">IF(A11="","",V11*Parâmetros!$B$11)</f>
        <v/>
      </c>
      <c r="X11" s="11" t="str">
        <f aca="false">IF(A11="","",MAX(U11,W11))</f>
        <v/>
      </c>
      <c r="Y11" s="6"/>
      <c r="Z11" s="12" t="str">
        <f aca="false">IF(A11="","",(Y11-T11)/Y11)</f>
        <v/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5" t="str">
        <f aca="false">IF(A12="","",SUM(H12:M12))</f>
        <v/>
      </c>
      <c r="O12" s="11" t="str">
        <f aca="false">IF(A12="","",N12*Parâmetros!$B$5)</f>
        <v/>
      </c>
      <c r="P12" s="5" t="str">
        <f aca="false">IF(A12="","",D12*E12*F12/1000000)</f>
        <v/>
      </c>
      <c r="Q12" s="5" t="str">
        <f aca="false">IF(A12="","",D12*E12*G12/1000000)</f>
        <v/>
      </c>
      <c r="R12" s="11" t="str">
        <f aca="false">IF(A12="","",(P12*Parâmetros!$B$14+Q12*Parâmetros!$B$15)*Parâmetros!$B$13*(1+Parâmetros!$B$12))</f>
        <v/>
      </c>
      <c r="S12" s="6"/>
      <c r="T12" s="11" t="str">
        <f aca="false">IF(A12="","",O12+R12+S12)</f>
        <v/>
      </c>
      <c r="U12" s="11" t="str">
        <f aca="false">IF(A12="","",T12/(1-Parâmetros!$B$7))</f>
        <v/>
      </c>
      <c r="V12" s="6"/>
      <c r="W12" s="11" t="str">
        <f aca="false">IF(A12="","",V12*Parâmetros!$B$11)</f>
        <v/>
      </c>
      <c r="X12" s="11" t="str">
        <f aca="false">IF(A12="","",MAX(U12,W12))</f>
        <v/>
      </c>
      <c r="Y12" s="6"/>
      <c r="Z12" s="12" t="str">
        <f aca="false">IF(A12="","",(Y12-T12)/Y12)</f>
        <v/>
      </c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5" t="str">
        <f aca="false">IF(A13="","",SUM(H13:M13))</f>
        <v/>
      </c>
      <c r="O13" s="11" t="str">
        <f aca="false">IF(A13="","",N13*Parâmetros!$B$5)</f>
        <v/>
      </c>
      <c r="P13" s="5" t="str">
        <f aca="false">IF(A13="","",D13*E13*F13/1000000)</f>
        <v/>
      </c>
      <c r="Q13" s="5" t="str">
        <f aca="false">IF(A13="","",D13*E13*G13/1000000)</f>
        <v/>
      </c>
      <c r="R13" s="11" t="str">
        <f aca="false">IF(A13="","",(P13*Parâmetros!$B$14+Q13*Parâmetros!$B$15)*Parâmetros!$B$13*(1+Parâmetros!$B$12))</f>
        <v/>
      </c>
      <c r="S13" s="6"/>
      <c r="T13" s="11" t="str">
        <f aca="false">IF(A13="","",O13+R13+S13)</f>
        <v/>
      </c>
      <c r="U13" s="11" t="str">
        <f aca="false">IF(A13="","",T13/(1-Parâmetros!$B$7))</f>
        <v/>
      </c>
      <c r="V13" s="6"/>
      <c r="W13" s="11" t="str">
        <f aca="false">IF(A13="","",V13*Parâmetros!$B$11)</f>
        <v/>
      </c>
      <c r="X13" s="11" t="str">
        <f aca="false">IF(A13="","",MAX(U13,W13))</f>
        <v/>
      </c>
      <c r="Y13" s="6"/>
      <c r="Z13" s="12" t="str">
        <f aca="false">IF(A13="","",(Y13-T13)/Y13)</f>
        <v/>
      </c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5" t="str">
        <f aca="false">IF(A14="","",SUM(H14:M14))</f>
        <v/>
      </c>
      <c r="O14" s="11" t="str">
        <f aca="false">IF(A14="","",N14*Parâmetros!$B$5)</f>
        <v/>
      </c>
      <c r="P14" s="5" t="str">
        <f aca="false">IF(A14="","",D14*E14*F14/1000000)</f>
        <v/>
      </c>
      <c r="Q14" s="5" t="str">
        <f aca="false">IF(A14="","",D14*E14*G14/1000000)</f>
        <v/>
      </c>
      <c r="R14" s="11" t="str">
        <f aca="false">IF(A14="","",(P14*Parâmetros!$B$14+Q14*Parâmetros!$B$15)*Parâmetros!$B$13*(1+Parâmetros!$B$12))</f>
        <v/>
      </c>
      <c r="S14" s="6"/>
      <c r="T14" s="11" t="str">
        <f aca="false">IF(A14="","",O14+R14+S14)</f>
        <v/>
      </c>
      <c r="U14" s="11" t="str">
        <f aca="false">IF(A14="","",T14/(1-Parâmetros!$B$7))</f>
        <v/>
      </c>
      <c r="V14" s="6"/>
      <c r="W14" s="11" t="str">
        <f aca="false">IF(A14="","",V14*Parâmetros!$B$11)</f>
        <v/>
      </c>
      <c r="X14" s="11" t="str">
        <f aca="false">IF(A14="","",MAX(U14,W14))</f>
        <v/>
      </c>
      <c r="Y14" s="6"/>
      <c r="Z14" s="12" t="str">
        <f aca="false">IF(A14="","",(Y14-T14)/Y14)</f>
        <v/>
      </c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5" t="str">
        <f aca="false">IF(A15="","",SUM(H15:M15))</f>
        <v/>
      </c>
      <c r="O15" s="11" t="str">
        <f aca="false">IF(A15="","",N15*Parâmetros!$B$5)</f>
        <v/>
      </c>
      <c r="P15" s="5" t="str">
        <f aca="false">IF(A15="","",D15*E15*F15/1000000)</f>
        <v/>
      </c>
      <c r="Q15" s="5" t="str">
        <f aca="false">IF(A15="","",D15*E15*G15/1000000)</f>
        <v/>
      </c>
      <c r="R15" s="11" t="str">
        <f aca="false">IF(A15="","",(P15*Parâmetros!$B$14+Q15*Parâmetros!$B$15)*Parâmetros!$B$13*(1+Parâmetros!$B$12))</f>
        <v/>
      </c>
      <c r="S15" s="6"/>
      <c r="T15" s="11" t="str">
        <f aca="false">IF(A15="","",O15+R15+S15)</f>
        <v/>
      </c>
      <c r="U15" s="11" t="str">
        <f aca="false">IF(A15="","",T15/(1-Parâmetros!$B$7))</f>
        <v/>
      </c>
      <c r="V15" s="6"/>
      <c r="W15" s="11" t="str">
        <f aca="false">IF(A15="","",V15*Parâmetros!$B$11)</f>
        <v/>
      </c>
      <c r="X15" s="11" t="str">
        <f aca="false">IF(A15="","",MAX(U15,W15))</f>
        <v/>
      </c>
      <c r="Y15" s="6"/>
      <c r="Z15" s="12" t="str">
        <f aca="false">IF(A15="","",(Y15-T15)/Y15)</f>
        <v/>
      </c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5" t="str">
        <f aca="false">IF(A16="","",SUM(H16:M16))</f>
        <v/>
      </c>
      <c r="O16" s="11" t="str">
        <f aca="false">IF(A16="","",N16*Parâmetros!$B$5)</f>
        <v/>
      </c>
      <c r="P16" s="5" t="str">
        <f aca="false">IF(A16="","",D16*E16*F16/1000000)</f>
        <v/>
      </c>
      <c r="Q16" s="5" t="str">
        <f aca="false">IF(A16="","",D16*E16*G16/1000000)</f>
        <v/>
      </c>
      <c r="R16" s="11" t="str">
        <f aca="false">IF(A16="","",(P16*Parâmetros!$B$14+Q16*Parâmetros!$B$15)*Parâmetros!$B$13*(1+Parâmetros!$B$12))</f>
        <v/>
      </c>
      <c r="S16" s="6"/>
      <c r="T16" s="11" t="str">
        <f aca="false">IF(A16="","",O16+R16+S16)</f>
        <v/>
      </c>
      <c r="U16" s="11" t="str">
        <f aca="false">IF(A16="","",T16/(1-Parâmetros!$B$7))</f>
        <v/>
      </c>
      <c r="V16" s="6"/>
      <c r="W16" s="11" t="str">
        <f aca="false">IF(A16="","",V16*Parâmetros!$B$11)</f>
        <v/>
      </c>
      <c r="X16" s="11" t="str">
        <f aca="false">IF(A16="","",MAX(U16,W16))</f>
        <v/>
      </c>
      <c r="Y16" s="6"/>
      <c r="Z16" s="12" t="str">
        <f aca="false">IF(A16="","",(Y16-T16)/Y16)</f>
        <v/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5" t="str">
        <f aca="false">IF(A17="","",SUM(H17:M17))</f>
        <v/>
      </c>
      <c r="O17" s="11" t="str">
        <f aca="false">IF(A17="","",N17*Parâmetros!$B$5)</f>
        <v/>
      </c>
      <c r="P17" s="5" t="str">
        <f aca="false">IF(A17="","",D17*E17*F17/1000000)</f>
        <v/>
      </c>
      <c r="Q17" s="5" t="str">
        <f aca="false">IF(A17="","",D17*E17*G17/1000000)</f>
        <v/>
      </c>
      <c r="R17" s="11" t="str">
        <f aca="false">IF(A17="","",(P17*Parâmetros!$B$14+Q17*Parâmetros!$B$15)*Parâmetros!$B$13*(1+Parâmetros!$B$12))</f>
        <v/>
      </c>
      <c r="S17" s="6"/>
      <c r="T17" s="11" t="str">
        <f aca="false">IF(A17="","",O17+R17+S17)</f>
        <v/>
      </c>
      <c r="U17" s="11" t="str">
        <f aca="false">IF(A17="","",T17/(1-Parâmetros!$B$7))</f>
        <v/>
      </c>
      <c r="V17" s="6"/>
      <c r="W17" s="11" t="str">
        <f aca="false">IF(A17="","",V17*Parâmetros!$B$11)</f>
        <v/>
      </c>
      <c r="X17" s="11" t="str">
        <f aca="false">IF(A17="","",MAX(U17,W17))</f>
        <v/>
      </c>
      <c r="Y17" s="6"/>
      <c r="Z17" s="12" t="str">
        <f aca="false">IF(A17="","",(Y17-T17)/Y17)</f>
        <v/>
      </c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5" t="str">
        <f aca="false">IF(A18="","",SUM(H18:M18))</f>
        <v/>
      </c>
      <c r="O18" s="11" t="str">
        <f aca="false">IF(A18="","",N18*Parâmetros!$B$5)</f>
        <v/>
      </c>
      <c r="P18" s="5" t="str">
        <f aca="false">IF(A18="","",D18*E18*F18/1000000)</f>
        <v/>
      </c>
      <c r="Q18" s="5" t="str">
        <f aca="false">IF(A18="","",D18*E18*G18/1000000)</f>
        <v/>
      </c>
      <c r="R18" s="11" t="str">
        <f aca="false">IF(A18="","",(P18*Parâmetros!$B$14+Q18*Parâmetros!$B$15)*Parâmetros!$B$13*(1+Parâmetros!$B$12))</f>
        <v/>
      </c>
      <c r="S18" s="6"/>
      <c r="T18" s="11" t="str">
        <f aca="false">IF(A18="","",O18+R18+S18)</f>
        <v/>
      </c>
      <c r="U18" s="11" t="str">
        <f aca="false">IF(A18="","",T18/(1-Parâmetros!$B$7))</f>
        <v/>
      </c>
      <c r="V18" s="6"/>
      <c r="W18" s="11" t="str">
        <f aca="false">IF(A18="","",V18*Parâmetros!$B$11)</f>
        <v/>
      </c>
      <c r="X18" s="11" t="str">
        <f aca="false">IF(A18="","",MAX(U18,W18))</f>
        <v/>
      </c>
      <c r="Y18" s="6"/>
      <c r="Z18" s="12" t="str">
        <f aca="false">IF(A18="","",(Y18-T18)/Y18)</f>
        <v/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5" t="str">
        <f aca="false">IF(A19="","",SUM(H19:M19))</f>
        <v/>
      </c>
      <c r="O19" s="11" t="str">
        <f aca="false">IF(A19="","",N19*Parâmetros!$B$5)</f>
        <v/>
      </c>
      <c r="P19" s="5" t="str">
        <f aca="false">IF(A19="","",D19*E19*F19/1000000)</f>
        <v/>
      </c>
      <c r="Q19" s="5" t="str">
        <f aca="false">IF(A19="","",D19*E19*G19/1000000)</f>
        <v/>
      </c>
      <c r="R19" s="11" t="str">
        <f aca="false">IF(A19="","",(P19*Parâmetros!$B$14+Q19*Parâmetros!$B$15)*Parâmetros!$B$13*(1+Parâmetros!$B$12))</f>
        <v/>
      </c>
      <c r="S19" s="6"/>
      <c r="T19" s="11" t="str">
        <f aca="false">IF(A19="","",O19+R19+S19)</f>
        <v/>
      </c>
      <c r="U19" s="11" t="str">
        <f aca="false">IF(A19="","",T19/(1-Parâmetros!$B$7))</f>
        <v/>
      </c>
      <c r="V19" s="6"/>
      <c r="W19" s="11" t="str">
        <f aca="false">IF(A19="","",V19*Parâmetros!$B$11)</f>
        <v/>
      </c>
      <c r="X19" s="11" t="str">
        <f aca="false">IF(A19="","",MAX(U19,W19))</f>
        <v/>
      </c>
      <c r="Y19" s="6"/>
      <c r="Z19" s="12" t="str">
        <f aca="false">IF(A19="","",(Y19-T19)/Y19)</f>
        <v/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5" t="str">
        <f aca="false">IF(A20="","",SUM(H20:M20))</f>
        <v/>
      </c>
      <c r="O20" s="11" t="str">
        <f aca="false">IF(A20="","",N20*Parâmetros!$B$5)</f>
        <v/>
      </c>
      <c r="P20" s="5" t="str">
        <f aca="false">IF(A20="","",D20*E20*F20/1000000)</f>
        <v/>
      </c>
      <c r="Q20" s="5" t="str">
        <f aca="false">IF(A20="","",D20*E20*G20/1000000)</f>
        <v/>
      </c>
      <c r="R20" s="11" t="str">
        <f aca="false">IF(A20="","",(P20*Parâmetros!$B$14+Q20*Parâmetros!$B$15)*Parâmetros!$B$13*(1+Parâmetros!$B$12))</f>
        <v/>
      </c>
      <c r="S20" s="6"/>
      <c r="T20" s="11" t="str">
        <f aca="false">IF(A20="","",O20+R20+S20)</f>
        <v/>
      </c>
      <c r="U20" s="11" t="str">
        <f aca="false">IF(A20="","",T20/(1-Parâmetros!$B$7))</f>
        <v/>
      </c>
      <c r="V20" s="6"/>
      <c r="W20" s="11" t="str">
        <f aca="false">IF(A20="","",V20*Parâmetros!$B$11)</f>
        <v/>
      </c>
      <c r="X20" s="11" t="str">
        <f aca="false">IF(A20="","",MAX(U20,W20))</f>
        <v/>
      </c>
      <c r="Y20" s="6"/>
      <c r="Z20" s="12" t="str">
        <f aca="false">IF(A20="","",(Y20-T20)/Y20)</f>
        <v/>
      </c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5" t="str">
        <f aca="false">IF(A21="","",SUM(H21:M21))</f>
        <v/>
      </c>
      <c r="O21" s="11" t="str">
        <f aca="false">IF(A21="","",N21*Parâmetros!$B$5)</f>
        <v/>
      </c>
      <c r="P21" s="5" t="str">
        <f aca="false">IF(A21="","",D21*E21*F21/1000000)</f>
        <v/>
      </c>
      <c r="Q21" s="5" t="str">
        <f aca="false">IF(A21="","",D21*E21*G21/1000000)</f>
        <v/>
      </c>
      <c r="R21" s="11" t="str">
        <f aca="false">IF(A21="","",(P21*Parâmetros!$B$14+Q21*Parâmetros!$B$15)*Parâmetros!$B$13*(1+Parâmetros!$B$12))</f>
        <v/>
      </c>
      <c r="S21" s="6"/>
      <c r="T21" s="11" t="str">
        <f aca="false">IF(A21="","",O21+R21+S21)</f>
        <v/>
      </c>
      <c r="U21" s="11" t="str">
        <f aca="false">IF(A21="","",T21/(1-Parâmetros!$B$7))</f>
        <v/>
      </c>
      <c r="V21" s="6"/>
      <c r="W21" s="11" t="str">
        <f aca="false">IF(A21="","",V21*Parâmetros!$B$11)</f>
        <v/>
      </c>
      <c r="X21" s="11" t="str">
        <f aca="false">IF(A21="","",MAX(U21,W21))</f>
        <v/>
      </c>
      <c r="Y21" s="6"/>
      <c r="Z21" s="12" t="str">
        <f aca="false">IF(A21="","",(Y21-T21)/Y21)</f>
        <v/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 t="str">
        <f aca="false">IF(A22="","",SUM(H22:M22))</f>
        <v/>
      </c>
      <c r="O22" s="11" t="str">
        <f aca="false">IF(A22="","",N22*Parâmetros!$B$5)</f>
        <v/>
      </c>
      <c r="P22" s="5" t="str">
        <f aca="false">IF(A22="","",D22*E22*F22/1000000)</f>
        <v/>
      </c>
      <c r="Q22" s="5" t="str">
        <f aca="false">IF(A22="","",D22*E22*G22/1000000)</f>
        <v/>
      </c>
      <c r="R22" s="11" t="str">
        <f aca="false">IF(A22="","",(P22*Parâmetros!$B$14+Q22*Parâmetros!$B$15)*Parâmetros!$B$13*(1+Parâmetros!$B$12))</f>
        <v/>
      </c>
      <c r="S22" s="6"/>
      <c r="T22" s="11" t="str">
        <f aca="false">IF(A22="","",O22+R22+S22)</f>
        <v/>
      </c>
      <c r="U22" s="11" t="str">
        <f aca="false">IF(A22="","",T22/(1-Parâmetros!$B$7))</f>
        <v/>
      </c>
      <c r="V22" s="6"/>
      <c r="W22" s="11" t="str">
        <f aca="false">IF(A22="","",V22*Parâmetros!$B$11)</f>
        <v/>
      </c>
      <c r="X22" s="11" t="str">
        <f aca="false">IF(A22="","",MAX(U22,W22))</f>
        <v/>
      </c>
      <c r="Y22" s="6"/>
      <c r="Z22" s="12" t="str">
        <f aca="false">IF(A22="","",(Y22-T22)/Y22)</f>
        <v/>
      </c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5" t="str">
        <f aca="false">IF(A23="","",SUM(H23:M23))</f>
        <v/>
      </c>
      <c r="O23" s="11" t="str">
        <f aca="false">IF(A23="","",N23*Parâmetros!$B$5)</f>
        <v/>
      </c>
      <c r="P23" s="5" t="str">
        <f aca="false">IF(A23="","",D23*E23*F23/1000000)</f>
        <v/>
      </c>
      <c r="Q23" s="5" t="str">
        <f aca="false">IF(A23="","",D23*E23*G23/1000000)</f>
        <v/>
      </c>
      <c r="R23" s="11" t="str">
        <f aca="false">IF(A23="","",(P23*Parâmetros!$B$14+Q23*Parâmetros!$B$15)*Parâmetros!$B$13*(1+Parâmetros!$B$12))</f>
        <v/>
      </c>
      <c r="S23" s="6"/>
      <c r="T23" s="11" t="str">
        <f aca="false">IF(A23="","",O23+R23+S23)</f>
        <v/>
      </c>
      <c r="U23" s="11" t="str">
        <f aca="false">IF(A23="","",T23/(1-Parâmetros!$B$7))</f>
        <v/>
      </c>
      <c r="V23" s="6"/>
      <c r="W23" s="11" t="str">
        <f aca="false">IF(A23="","",V23*Parâmetros!$B$11)</f>
        <v/>
      </c>
      <c r="X23" s="11" t="str">
        <f aca="false">IF(A23="","",MAX(U23,W23))</f>
        <v/>
      </c>
      <c r="Y23" s="6"/>
      <c r="Z23" s="12" t="str">
        <f aca="false">IF(A23="","",(Y23-T23)/Y23)</f>
        <v/>
      </c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5" t="str">
        <f aca="false">IF(A24="","",SUM(H24:M24))</f>
        <v/>
      </c>
      <c r="O24" s="11" t="str">
        <f aca="false">IF(A24="","",N24*Parâmetros!$B$5)</f>
        <v/>
      </c>
      <c r="P24" s="5" t="str">
        <f aca="false">IF(A24="","",D24*E24*F24/1000000)</f>
        <v/>
      </c>
      <c r="Q24" s="5" t="str">
        <f aca="false">IF(A24="","",D24*E24*G24/1000000)</f>
        <v/>
      </c>
      <c r="R24" s="11" t="str">
        <f aca="false">IF(A24="","",(P24*Parâmetros!$B$14+Q24*Parâmetros!$B$15)*Parâmetros!$B$13*(1+Parâmetros!$B$12))</f>
        <v/>
      </c>
      <c r="S24" s="6"/>
      <c r="T24" s="11" t="str">
        <f aca="false">IF(A24="","",O24+R24+S24)</f>
        <v/>
      </c>
      <c r="U24" s="11" t="str">
        <f aca="false">IF(A24="","",T24/(1-Parâmetros!$B$7))</f>
        <v/>
      </c>
      <c r="V24" s="6"/>
      <c r="W24" s="11" t="str">
        <f aca="false">IF(A24="","",V24*Parâmetros!$B$11)</f>
        <v/>
      </c>
      <c r="X24" s="11" t="str">
        <f aca="false">IF(A24="","",MAX(U24,W24))</f>
        <v/>
      </c>
      <c r="Y24" s="6"/>
      <c r="Z24" s="12" t="str">
        <f aca="false">IF(A24="","",(Y24-T24)/Y24)</f>
        <v/>
      </c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5" t="str">
        <f aca="false">IF(A25="","",SUM(H25:M25))</f>
        <v/>
      </c>
      <c r="O25" s="11" t="str">
        <f aca="false">IF(A25="","",N25*Parâmetros!$B$5)</f>
        <v/>
      </c>
      <c r="P25" s="5" t="str">
        <f aca="false">IF(A25="","",D25*E25*F25/1000000)</f>
        <v/>
      </c>
      <c r="Q25" s="5" t="str">
        <f aca="false">IF(A25="","",D25*E25*G25/1000000)</f>
        <v/>
      </c>
      <c r="R25" s="11" t="str">
        <f aca="false">IF(A25="","",(P25*Parâmetros!$B$14+Q25*Parâmetros!$B$15)*Parâmetros!$B$13*(1+Parâmetros!$B$12))</f>
        <v/>
      </c>
      <c r="S25" s="6"/>
      <c r="T25" s="11" t="str">
        <f aca="false">IF(A25="","",O25+R25+S25)</f>
        <v/>
      </c>
      <c r="U25" s="11" t="str">
        <f aca="false">IF(A25="","",T25/(1-Parâmetros!$B$7))</f>
        <v/>
      </c>
      <c r="V25" s="6"/>
      <c r="W25" s="11" t="str">
        <f aca="false">IF(A25="","",V25*Parâmetros!$B$11)</f>
        <v/>
      </c>
      <c r="X25" s="11" t="str">
        <f aca="false">IF(A25="","",MAX(U25,W25))</f>
        <v/>
      </c>
      <c r="Y25" s="6"/>
      <c r="Z25" s="12" t="str">
        <f aca="false">IF(A25="","",(Y25-T25)/Y25)</f>
        <v/>
      </c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5" t="str">
        <f aca="false">IF(A26="","",SUM(H26:M26))</f>
        <v/>
      </c>
      <c r="O26" s="11" t="str">
        <f aca="false">IF(A26="","",N26*Parâmetros!$B$5)</f>
        <v/>
      </c>
      <c r="P26" s="5" t="str">
        <f aca="false">IF(A26="","",D26*E26*F26/1000000)</f>
        <v/>
      </c>
      <c r="Q26" s="5" t="str">
        <f aca="false">IF(A26="","",D26*E26*G26/1000000)</f>
        <v/>
      </c>
      <c r="R26" s="11" t="str">
        <f aca="false">IF(A26="","",(P26*Parâmetros!$B$14+Q26*Parâmetros!$B$15)*Parâmetros!$B$13*(1+Parâmetros!$B$12))</f>
        <v/>
      </c>
      <c r="S26" s="6"/>
      <c r="T26" s="11" t="str">
        <f aca="false">IF(A26="","",O26+R26+S26)</f>
        <v/>
      </c>
      <c r="U26" s="11" t="str">
        <f aca="false">IF(A26="","",T26/(1-Parâmetros!$B$7))</f>
        <v/>
      </c>
      <c r="V26" s="6"/>
      <c r="W26" s="11" t="str">
        <f aca="false">IF(A26="","",V26*Parâmetros!$B$11)</f>
        <v/>
      </c>
      <c r="X26" s="11" t="str">
        <f aca="false">IF(A26="","",MAX(U26,W26))</f>
        <v/>
      </c>
      <c r="Y26" s="6"/>
      <c r="Z26" s="12" t="str">
        <f aca="false">IF(A26="","",(Y26-T26)/Y26)</f>
        <v/>
      </c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5" t="str">
        <f aca="false">IF(A27="","",SUM(H27:M27))</f>
        <v/>
      </c>
      <c r="O27" s="11" t="str">
        <f aca="false">IF(A27="","",N27*Parâmetros!$B$5)</f>
        <v/>
      </c>
      <c r="P27" s="5" t="str">
        <f aca="false">IF(A27="","",D27*E27*F27/1000000)</f>
        <v/>
      </c>
      <c r="Q27" s="5" t="str">
        <f aca="false">IF(A27="","",D27*E27*G27/1000000)</f>
        <v/>
      </c>
      <c r="R27" s="11" t="str">
        <f aca="false">IF(A27="","",(P27*Parâmetros!$B$14+Q27*Parâmetros!$B$15)*Parâmetros!$B$13*(1+Parâmetros!$B$12))</f>
        <v/>
      </c>
      <c r="S27" s="6"/>
      <c r="T27" s="11" t="str">
        <f aca="false">IF(A27="","",O27+R27+S27)</f>
        <v/>
      </c>
      <c r="U27" s="11" t="str">
        <f aca="false">IF(A27="","",T27/(1-Parâmetros!$B$7))</f>
        <v/>
      </c>
      <c r="V27" s="6"/>
      <c r="W27" s="11" t="str">
        <f aca="false">IF(A27="","",V27*Parâmetros!$B$11)</f>
        <v/>
      </c>
      <c r="X27" s="11" t="str">
        <f aca="false">IF(A27="","",MAX(U27,W27))</f>
        <v/>
      </c>
      <c r="Y27" s="6"/>
      <c r="Z27" s="12" t="str">
        <f aca="false">IF(A27="","",(Y27-T27)/Y27)</f>
        <v/>
      </c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5" t="str">
        <f aca="false">IF(A28="","",SUM(H28:M28))</f>
        <v/>
      </c>
      <c r="O28" s="11" t="str">
        <f aca="false">IF(A28="","",N28*Parâmetros!$B$5)</f>
        <v/>
      </c>
      <c r="P28" s="5" t="str">
        <f aca="false">IF(A28="","",D28*E28*F28/1000000)</f>
        <v/>
      </c>
      <c r="Q28" s="5" t="str">
        <f aca="false">IF(A28="","",D28*E28*G28/1000000)</f>
        <v/>
      </c>
      <c r="R28" s="11" t="str">
        <f aca="false">IF(A28="","",(P28*Parâmetros!$B$14+Q28*Parâmetros!$B$15)*Parâmetros!$B$13*(1+Parâmetros!$B$12))</f>
        <v/>
      </c>
      <c r="S28" s="6"/>
      <c r="T28" s="11" t="str">
        <f aca="false">IF(A28="","",O28+R28+S28)</f>
        <v/>
      </c>
      <c r="U28" s="11" t="str">
        <f aca="false">IF(A28="","",T28/(1-Parâmetros!$B$7))</f>
        <v/>
      </c>
      <c r="V28" s="6"/>
      <c r="W28" s="11" t="str">
        <f aca="false">IF(A28="","",V28*Parâmetros!$B$11)</f>
        <v/>
      </c>
      <c r="X28" s="11" t="str">
        <f aca="false">IF(A28="","",MAX(U28,W28))</f>
        <v/>
      </c>
      <c r="Y28" s="6"/>
      <c r="Z28" s="12" t="str">
        <f aca="false">IF(A28="","",(Y28-T28)/Y28)</f>
        <v/>
      </c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5" t="str">
        <f aca="false">IF(A29="","",SUM(H29:M29))</f>
        <v/>
      </c>
      <c r="O29" s="11" t="str">
        <f aca="false">IF(A29="","",N29*Parâmetros!$B$5)</f>
        <v/>
      </c>
      <c r="P29" s="5" t="str">
        <f aca="false">IF(A29="","",D29*E29*F29/1000000)</f>
        <v/>
      </c>
      <c r="Q29" s="5" t="str">
        <f aca="false">IF(A29="","",D29*E29*G29/1000000)</f>
        <v/>
      </c>
      <c r="R29" s="11" t="str">
        <f aca="false">IF(A29="","",(P29*Parâmetros!$B$14+Q29*Parâmetros!$B$15)*Parâmetros!$B$13*(1+Parâmetros!$B$12))</f>
        <v/>
      </c>
      <c r="S29" s="6"/>
      <c r="T29" s="11" t="str">
        <f aca="false">IF(A29="","",O29+R29+S29)</f>
        <v/>
      </c>
      <c r="U29" s="11" t="str">
        <f aca="false">IF(A29="","",T29/(1-Parâmetros!$B$7))</f>
        <v/>
      </c>
      <c r="V29" s="6"/>
      <c r="W29" s="11" t="str">
        <f aca="false">IF(A29="","",V29*Parâmetros!$B$11)</f>
        <v/>
      </c>
      <c r="X29" s="11" t="str">
        <f aca="false">IF(A29="","",MAX(U29,W29))</f>
        <v/>
      </c>
      <c r="Y29" s="6"/>
      <c r="Z29" s="12" t="str">
        <f aca="false">IF(A29="","",(Y29-T29)/Y29)</f>
        <v/>
      </c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5" t="str">
        <f aca="false">IF(A30="","",SUM(H30:M30))</f>
        <v/>
      </c>
      <c r="O30" s="11" t="str">
        <f aca="false">IF(A30="","",N30*Parâmetros!$B$5)</f>
        <v/>
      </c>
      <c r="P30" s="5" t="str">
        <f aca="false">IF(A30="","",D30*E30*F30/1000000)</f>
        <v/>
      </c>
      <c r="Q30" s="5" t="str">
        <f aca="false">IF(A30="","",D30*E30*G30/1000000)</f>
        <v/>
      </c>
      <c r="R30" s="11" t="str">
        <f aca="false">IF(A30="","",(P30*Parâmetros!$B$14+Q30*Parâmetros!$B$15)*Parâmetros!$B$13*(1+Parâmetros!$B$12))</f>
        <v/>
      </c>
      <c r="S30" s="6"/>
      <c r="T30" s="11" t="str">
        <f aca="false">IF(A30="","",O30+R30+S30)</f>
        <v/>
      </c>
      <c r="U30" s="11" t="str">
        <f aca="false">IF(A30="","",T30/(1-Parâmetros!$B$7))</f>
        <v/>
      </c>
      <c r="V30" s="6"/>
      <c r="W30" s="11" t="str">
        <f aca="false">IF(A30="","",V30*Parâmetros!$B$11)</f>
        <v/>
      </c>
      <c r="X30" s="11" t="str">
        <f aca="false">IF(A30="","",MAX(U30,W30))</f>
        <v/>
      </c>
      <c r="Y30" s="6"/>
      <c r="Z30" s="12" t="str">
        <f aca="false">IF(A30="","",(Y30-T30)/Y30)</f>
        <v/>
      </c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5" t="str">
        <f aca="false">IF(A31="","",SUM(H31:M31))</f>
        <v/>
      </c>
      <c r="O31" s="11" t="str">
        <f aca="false">IF(A31="","",N31*Parâmetros!$B$5)</f>
        <v/>
      </c>
      <c r="P31" s="5" t="str">
        <f aca="false">IF(A31="","",D31*E31*F31/1000000)</f>
        <v/>
      </c>
      <c r="Q31" s="5" t="str">
        <f aca="false">IF(A31="","",D31*E31*G31/1000000)</f>
        <v/>
      </c>
      <c r="R31" s="11" t="str">
        <f aca="false">IF(A31="","",(P31*Parâmetros!$B$14+Q31*Parâmetros!$B$15)*Parâmetros!$B$13*(1+Parâmetros!$B$12))</f>
        <v/>
      </c>
      <c r="S31" s="6"/>
      <c r="T31" s="11" t="str">
        <f aca="false">IF(A31="","",O31+R31+S31)</f>
        <v/>
      </c>
      <c r="U31" s="11" t="str">
        <f aca="false">IF(A31="","",T31/(1-Parâmetros!$B$7))</f>
        <v/>
      </c>
      <c r="V31" s="6"/>
      <c r="W31" s="11" t="str">
        <f aca="false">IF(A31="","",V31*Parâmetros!$B$11)</f>
        <v/>
      </c>
      <c r="X31" s="11" t="str">
        <f aca="false">IF(A31="","",MAX(U31,W31))</f>
        <v/>
      </c>
      <c r="Y31" s="6"/>
      <c r="Z31" s="12" t="str">
        <f aca="false">IF(A31="","",(Y31-T31)/Y31)</f>
        <v/>
      </c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5" t="str">
        <f aca="false">IF(A32="","",SUM(H32:M32))</f>
        <v/>
      </c>
      <c r="O32" s="11" t="str">
        <f aca="false">IF(A32="","",N32*Parâmetros!$B$5)</f>
        <v/>
      </c>
      <c r="P32" s="5" t="str">
        <f aca="false">IF(A32="","",D32*E32*F32/1000000)</f>
        <v/>
      </c>
      <c r="Q32" s="5" t="str">
        <f aca="false">IF(A32="","",D32*E32*G32/1000000)</f>
        <v/>
      </c>
      <c r="R32" s="11" t="str">
        <f aca="false">IF(A32="","",(P32*Parâmetros!$B$14+Q32*Parâmetros!$B$15)*Parâmetros!$B$13*(1+Parâmetros!$B$12))</f>
        <v/>
      </c>
      <c r="S32" s="6"/>
      <c r="T32" s="11" t="str">
        <f aca="false">IF(A32="","",O32+R32+S32)</f>
        <v/>
      </c>
      <c r="U32" s="11" t="str">
        <f aca="false">IF(A32="","",T32/(1-Parâmetros!$B$7))</f>
        <v/>
      </c>
      <c r="V32" s="6"/>
      <c r="W32" s="11" t="str">
        <f aca="false">IF(A32="","",V32*Parâmetros!$B$11)</f>
        <v/>
      </c>
      <c r="X32" s="11" t="str">
        <f aca="false">IF(A32="","",MAX(U32,W32))</f>
        <v/>
      </c>
      <c r="Y32" s="6"/>
      <c r="Z32" s="12" t="str">
        <f aca="false">IF(A32="","",(Y32-T32)/Y32)</f>
        <v/>
      </c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5" t="str">
        <f aca="false">IF(A33="","",SUM(H33:M33))</f>
        <v/>
      </c>
      <c r="O33" s="11" t="str">
        <f aca="false">IF(A33="","",N33*Parâmetros!$B$5)</f>
        <v/>
      </c>
      <c r="P33" s="5" t="str">
        <f aca="false">IF(A33="","",D33*E33*F33/1000000)</f>
        <v/>
      </c>
      <c r="Q33" s="5" t="str">
        <f aca="false">IF(A33="","",D33*E33*G33/1000000)</f>
        <v/>
      </c>
      <c r="R33" s="11" t="str">
        <f aca="false">IF(A33="","",(P33*Parâmetros!$B$14+Q33*Parâmetros!$B$15)*Parâmetros!$B$13*(1+Parâmetros!$B$12))</f>
        <v/>
      </c>
      <c r="S33" s="6"/>
      <c r="T33" s="11" t="str">
        <f aca="false">IF(A33="","",O33+R33+S33)</f>
        <v/>
      </c>
      <c r="U33" s="11" t="str">
        <f aca="false">IF(A33="","",T33/(1-Parâmetros!$B$7))</f>
        <v/>
      </c>
      <c r="V33" s="6"/>
      <c r="W33" s="11" t="str">
        <f aca="false">IF(A33="","",V33*Parâmetros!$B$11)</f>
        <v/>
      </c>
      <c r="X33" s="11" t="str">
        <f aca="false">IF(A33="","",MAX(U33,W33))</f>
        <v/>
      </c>
      <c r="Y33" s="6"/>
      <c r="Z33" s="12" t="str">
        <f aca="false">IF(A33="","",(Y33-T33)/Y33)</f>
        <v/>
      </c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5" t="str">
        <f aca="false">IF(A34="","",SUM(H34:M34))</f>
        <v/>
      </c>
      <c r="O34" s="11" t="str">
        <f aca="false">IF(A34="","",N34*Parâmetros!$B$5)</f>
        <v/>
      </c>
      <c r="P34" s="5" t="str">
        <f aca="false">IF(A34="","",D34*E34*F34/1000000)</f>
        <v/>
      </c>
      <c r="Q34" s="5" t="str">
        <f aca="false">IF(A34="","",D34*E34*G34/1000000)</f>
        <v/>
      </c>
      <c r="R34" s="11" t="str">
        <f aca="false">IF(A34="","",(P34*Parâmetros!$B$14+Q34*Parâmetros!$B$15)*Parâmetros!$B$13*(1+Parâmetros!$B$12))</f>
        <v/>
      </c>
      <c r="S34" s="6"/>
      <c r="T34" s="11" t="str">
        <f aca="false">IF(A34="","",O34+R34+S34)</f>
        <v/>
      </c>
      <c r="U34" s="11" t="str">
        <f aca="false">IF(A34="","",T34/(1-Parâmetros!$B$7))</f>
        <v/>
      </c>
      <c r="V34" s="6"/>
      <c r="W34" s="11" t="str">
        <f aca="false">IF(A34="","",V34*Parâmetros!$B$11)</f>
        <v/>
      </c>
      <c r="X34" s="11" t="str">
        <f aca="false">IF(A34="","",MAX(U34,W34))</f>
        <v/>
      </c>
      <c r="Y34" s="6"/>
      <c r="Z34" s="12" t="str">
        <f aca="false">IF(A34="","",(Y34-T34)/Y34)</f>
        <v/>
      </c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5" t="str">
        <f aca="false">IF(A35="","",SUM(H35:M35))</f>
        <v/>
      </c>
      <c r="O35" s="11" t="str">
        <f aca="false">IF(A35="","",N35*Parâmetros!$B$5)</f>
        <v/>
      </c>
      <c r="P35" s="5" t="str">
        <f aca="false">IF(A35="","",D35*E35*F35/1000000)</f>
        <v/>
      </c>
      <c r="Q35" s="5" t="str">
        <f aca="false">IF(A35="","",D35*E35*G35/1000000)</f>
        <v/>
      </c>
      <c r="R35" s="11" t="str">
        <f aca="false">IF(A35="","",(P35*Parâmetros!$B$14+Q35*Parâmetros!$B$15)*Parâmetros!$B$13*(1+Parâmetros!$B$12))</f>
        <v/>
      </c>
      <c r="S35" s="6"/>
      <c r="T35" s="11" t="str">
        <f aca="false">IF(A35="","",O35+R35+S35)</f>
        <v/>
      </c>
      <c r="U35" s="11" t="str">
        <f aca="false">IF(A35="","",T35/(1-Parâmetros!$B$7))</f>
        <v/>
      </c>
      <c r="V35" s="6"/>
      <c r="W35" s="11" t="str">
        <f aca="false">IF(A35="","",V35*Parâmetros!$B$11)</f>
        <v/>
      </c>
      <c r="X35" s="11" t="str">
        <f aca="false">IF(A35="","",MAX(U35,W35))</f>
        <v/>
      </c>
      <c r="Y35" s="6"/>
      <c r="Z35" s="12" t="str">
        <f aca="false">IF(A35="","",(Y35-T35)/Y35)</f>
        <v/>
      </c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" t="str">
        <f aca="false">IF(A36="","",SUM(H36:M36))</f>
        <v/>
      </c>
      <c r="O36" s="11" t="str">
        <f aca="false">IF(A36="","",N36*Parâmetros!$B$5)</f>
        <v/>
      </c>
      <c r="P36" s="5" t="str">
        <f aca="false">IF(A36="","",D36*E36*F36/1000000)</f>
        <v/>
      </c>
      <c r="Q36" s="5" t="str">
        <f aca="false">IF(A36="","",D36*E36*G36/1000000)</f>
        <v/>
      </c>
      <c r="R36" s="11" t="str">
        <f aca="false">IF(A36="","",(P36*Parâmetros!$B$14+Q36*Parâmetros!$B$15)*Parâmetros!$B$13*(1+Parâmetros!$B$12))</f>
        <v/>
      </c>
      <c r="S36" s="6"/>
      <c r="T36" s="11" t="str">
        <f aca="false">IF(A36="","",O36+R36+S36)</f>
        <v/>
      </c>
      <c r="U36" s="11" t="str">
        <f aca="false">IF(A36="","",T36/(1-Parâmetros!$B$7))</f>
        <v/>
      </c>
      <c r="V36" s="6"/>
      <c r="W36" s="11" t="str">
        <f aca="false">IF(A36="","",V36*Parâmetros!$B$11)</f>
        <v/>
      </c>
      <c r="X36" s="11" t="str">
        <f aca="false">IF(A36="","",MAX(U36,W36))</f>
        <v/>
      </c>
      <c r="Y36" s="6"/>
      <c r="Z36" s="12" t="str">
        <f aca="false">IF(A36="","",(Y36-T36)/Y36)</f>
        <v/>
      </c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5" t="str">
        <f aca="false">IF(A37="","",SUM(H37:M37))</f>
        <v/>
      </c>
      <c r="O37" s="11" t="str">
        <f aca="false">IF(A37="","",N37*Parâmetros!$B$5)</f>
        <v/>
      </c>
      <c r="P37" s="5" t="str">
        <f aca="false">IF(A37="","",D37*E37*F37/1000000)</f>
        <v/>
      </c>
      <c r="Q37" s="5" t="str">
        <f aca="false">IF(A37="","",D37*E37*G37/1000000)</f>
        <v/>
      </c>
      <c r="R37" s="11" t="str">
        <f aca="false">IF(A37="","",(P37*Parâmetros!$B$14+Q37*Parâmetros!$B$15)*Parâmetros!$B$13*(1+Parâmetros!$B$12))</f>
        <v/>
      </c>
      <c r="S37" s="6"/>
      <c r="T37" s="11" t="str">
        <f aca="false">IF(A37="","",O37+R37+S37)</f>
        <v/>
      </c>
      <c r="U37" s="11" t="str">
        <f aca="false">IF(A37="","",T37/(1-Parâmetros!$B$7))</f>
        <v/>
      </c>
      <c r="V37" s="6"/>
      <c r="W37" s="11" t="str">
        <f aca="false">IF(A37="","",V37*Parâmetros!$B$11)</f>
        <v/>
      </c>
      <c r="X37" s="11" t="str">
        <f aca="false">IF(A37="","",MAX(U37,W37))</f>
        <v/>
      </c>
      <c r="Y37" s="6"/>
      <c r="Z37" s="12" t="str">
        <f aca="false">IF(A37="","",(Y37-T37)/Y37)</f>
        <v/>
      </c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5" t="str">
        <f aca="false">IF(A38="","",SUM(H38:M38))</f>
        <v/>
      </c>
      <c r="O38" s="11" t="str">
        <f aca="false">IF(A38="","",N38*Parâmetros!$B$5)</f>
        <v/>
      </c>
      <c r="P38" s="5" t="str">
        <f aca="false">IF(A38="","",D38*E38*F38/1000000)</f>
        <v/>
      </c>
      <c r="Q38" s="5" t="str">
        <f aca="false">IF(A38="","",D38*E38*G38/1000000)</f>
        <v/>
      </c>
      <c r="R38" s="11" t="str">
        <f aca="false">IF(A38="","",(P38*Parâmetros!$B$14+Q38*Parâmetros!$B$15)*Parâmetros!$B$13*(1+Parâmetros!$B$12))</f>
        <v/>
      </c>
      <c r="S38" s="6"/>
      <c r="T38" s="11" t="str">
        <f aca="false">IF(A38="","",O38+R38+S38)</f>
        <v/>
      </c>
      <c r="U38" s="11" t="str">
        <f aca="false">IF(A38="","",T38/(1-Parâmetros!$B$7))</f>
        <v/>
      </c>
      <c r="V38" s="6"/>
      <c r="W38" s="11" t="str">
        <f aca="false">IF(A38="","",V38*Parâmetros!$B$11)</f>
        <v/>
      </c>
      <c r="X38" s="11" t="str">
        <f aca="false">IF(A38="","",MAX(U38,W38))</f>
        <v/>
      </c>
      <c r="Y38" s="6"/>
      <c r="Z38" s="12" t="str">
        <f aca="false">IF(A38="","",(Y38-T38)/Y38)</f>
        <v/>
      </c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5" t="str">
        <f aca="false">IF(A39="","",SUM(H39:M39))</f>
        <v/>
      </c>
      <c r="O39" s="11" t="str">
        <f aca="false">IF(A39="","",N39*Parâmetros!$B$5)</f>
        <v/>
      </c>
      <c r="P39" s="5" t="str">
        <f aca="false">IF(A39="","",D39*E39*F39/1000000)</f>
        <v/>
      </c>
      <c r="Q39" s="5" t="str">
        <f aca="false">IF(A39="","",D39*E39*G39/1000000)</f>
        <v/>
      </c>
      <c r="R39" s="11" t="str">
        <f aca="false">IF(A39="","",(P39*Parâmetros!$B$14+Q39*Parâmetros!$B$15)*Parâmetros!$B$13*(1+Parâmetros!$B$12))</f>
        <v/>
      </c>
      <c r="S39" s="6"/>
      <c r="T39" s="11" t="str">
        <f aca="false">IF(A39="","",O39+R39+S39)</f>
        <v/>
      </c>
      <c r="U39" s="11" t="str">
        <f aca="false">IF(A39="","",T39/(1-Parâmetros!$B$7))</f>
        <v/>
      </c>
      <c r="V39" s="6"/>
      <c r="W39" s="11" t="str">
        <f aca="false">IF(A39="","",V39*Parâmetros!$B$11)</f>
        <v/>
      </c>
      <c r="X39" s="11" t="str">
        <f aca="false">IF(A39="","",MAX(U39,W39))</f>
        <v/>
      </c>
      <c r="Y39" s="6"/>
      <c r="Z39" s="12" t="str">
        <f aca="false">IF(A39="","",(Y39-T39)/Y39)</f>
        <v/>
      </c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5" t="str">
        <f aca="false">IF(A40="","",SUM(H40:M40))</f>
        <v/>
      </c>
      <c r="O40" s="11" t="str">
        <f aca="false">IF(A40="","",N40*Parâmetros!$B$5)</f>
        <v/>
      </c>
      <c r="P40" s="5" t="str">
        <f aca="false">IF(A40="","",D40*E40*F40/1000000)</f>
        <v/>
      </c>
      <c r="Q40" s="5" t="str">
        <f aca="false">IF(A40="","",D40*E40*G40/1000000)</f>
        <v/>
      </c>
      <c r="R40" s="11" t="str">
        <f aca="false">IF(A40="","",(P40*Parâmetros!$B$14+Q40*Parâmetros!$B$15)*Parâmetros!$B$13*(1+Parâmetros!$B$12))</f>
        <v/>
      </c>
      <c r="S40" s="6"/>
      <c r="T40" s="11" t="str">
        <f aca="false">IF(A40="","",O40+R40+S40)</f>
        <v/>
      </c>
      <c r="U40" s="11" t="str">
        <f aca="false">IF(A40="","",T40/(1-Parâmetros!$B$7))</f>
        <v/>
      </c>
      <c r="V40" s="6"/>
      <c r="W40" s="11" t="str">
        <f aca="false">IF(A40="","",V40*Parâmetros!$B$11)</f>
        <v/>
      </c>
      <c r="X40" s="11" t="str">
        <f aca="false">IF(A40="","",MAX(U40,W40))</f>
        <v/>
      </c>
      <c r="Y40" s="6"/>
      <c r="Z40" s="12" t="str">
        <f aca="false">IF(A40="","",(Y40-T40)/Y40)</f>
        <v/>
      </c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" t="str">
        <f aca="false">IF(A41="","",SUM(H41:M41))</f>
        <v/>
      </c>
      <c r="O41" s="11" t="str">
        <f aca="false">IF(A41="","",N41*Parâmetros!$B$5)</f>
        <v/>
      </c>
      <c r="P41" s="5" t="str">
        <f aca="false">IF(A41="","",D41*E41*F41/1000000)</f>
        <v/>
      </c>
      <c r="Q41" s="5" t="str">
        <f aca="false">IF(A41="","",D41*E41*G41/1000000)</f>
        <v/>
      </c>
      <c r="R41" s="11" t="str">
        <f aca="false">IF(A41="","",(P41*Parâmetros!$B$14+Q41*Parâmetros!$B$15)*Parâmetros!$B$13*(1+Parâmetros!$B$12))</f>
        <v/>
      </c>
      <c r="S41" s="6"/>
      <c r="T41" s="11" t="str">
        <f aca="false">IF(A41="","",O41+R41+S41)</f>
        <v/>
      </c>
      <c r="U41" s="11" t="str">
        <f aca="false">IF(A41="","",T41/(1-Parâmetros!$B$7))</f>
        <v/>
      </c>
      <c r="V41" s="6"/>
      <c r="W41" s="11" t="str">
        <f aca="false">IF(A41="","",V41*Parâmetros!$B$11)</f>
        <v/>
      </c>
      <c r="X41" s="11" t="str">
        <f aca="false">IF(A41="","",MAX(U41,W41))</f>
        <v/>
      </c>
      <c r="Y41" s="6"/>
      <c r="Z41" s="12" t="str">
        <f aca="false">IF(A41="","",(Y41-T41)/Y41)</f>
        <v/>
      </c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" t="str">
        <f aca="false">IF(A42="","",SUM(H42:M42))</f>
        <v/>
      </c>
      <c r="O42" s="11" t="str">
        <f aca="false">IF(A42="","",N42*Parâmetros!$B$5)</f>
        <v/>
      </c>
      <c r="P42" s="5" t="str">
        <f aca="false">IF(A42="","",D42*E42*F42/1000000)</f>
        <v/>
      </c>
      <c r="Q42" s="5" t="str">
        <f aca="false">IF(A42="","",D42*E42*G42/1000000)</f>
        <v/>
      </c>
      <c r="R42" s="11" t="str">
        <f aca="false">IF(A42="","",(P42*Parâmetros!$B$14+Q42*Parâmetros!$B$15)*Parâmetros!$B$13*(1+Parâmetros!$B$12))</f>
        <v/>
      </c>
      <c r="S42" s="6"/>
      <c r="T42" s="11" t="str">
        <f aca="false">IF(A42="","",O42+R42+S42)</f>
        <v/>
      </c>
      <c r="U42" s="11" t="str">
        <f aca="false">IF(A42="","",T42/(1-Parâmetros!$B$7))</f>
        <v/>
      </c>
      <c r="V42" s="6"/>
      <c r="W42" s="11" t="str">
        <f aca="false">IF(A42="","",V42*Parâmetros!$B$11)</f>
        <v/>
      </c>
      <c r="X42" s="11" t="str">
        <f aca="false">IF(A42="","",MAX(U42,W42))</f>
        <v/>
      </c>
      <c r="Y42" s="6"/>
      <c r="Z42" s="12" t="str">
        <f aca="false">IF(A42="","",(Y42-T42)/Y42)</f>
        <v/>
      </c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5" t="str">
        <f aca="false">IF(A43="","",SUM(H43:M43))</f>
        <v/>
      </c>
      <c r="O43" s="11" t="str">
        <f aca="false">IF(A43="","",N43*Parâmetros!$B$5)</f>
        <v/>
      </c>
      <c r="P43" s="5" t="str">
        <f aca="false">IF(A43="","",D43*E43*F43/1000000)</f>
        <v/>
      </c>
      <c r="Q43" s="5" t="str">
        <f aca="false">IF(A43="","",D43*E43*G43/1000000)</f>
        <v/>
      </c>
      <c r="R43" s="11" t="str">
        <f aca="false">IF(A43="","",(P43*Parâmetros!$B$14+Q43*Parâmetros!$B$15)*Parâmetros!$B$13*(1+Parâmetros!$B$12))</f>
        <v/>
      </c>
      <c r="S43" s="6"/>
      <c r="T43" s="11" t="str">
        <f aca="false">IF(A43="","",O43+R43+S43)</f>
        <v/>
      </c>
      <c r="U43" s="11" t="str">
        <f aca="false">IF(A43="","",T43/(1-Parâmetros!$B$7))</f>
        <v/>
      </c>
      <c r="V43" s="6"/>
      <c r="W43" s="11" t="str">
        <f aca="false">IF(A43="","",V43*Parâmetros!$B$11)</f>
        <v/>
      </c>
      <c r="X43" s="11" t="str">
        <f aca="false">IF(A43="","",MAX(U43,W43))</f>
        <v/>
      </c>
      <c r="Y43" s="6"/>
      <c r="Z43" s="12" t="str">
        <f aca="false">IF(A43="","",(Y43-T43)/Y43)</f>
        <v/>
      </c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5" t="str">
        <f aca="false">IF(A44="","",SUM(H44:M44))</f>
        <v/>
      </c>
      <c r="O44" s="11" t="str">
        <f aca="false">IF(A44="","",N44*Parâmetros!$B$5)</f>
        <v/>
      </c>
      <c r="P44" s="5" t="str">
        <f aca="false">IF(A44="","",D44*E44*F44/1000000)</f>
        <v/>
      </c>
      <c r="Q44" s="5" t="str">
        <f aca="false">IF(A44="","",D44*E44*G44/1000000)</f>
        <v/>
      </c>
      <c r="R44" s="11" t="str">
        <f aca="false">IF(A44="","",(P44*Parâmetros!$B$14+Q44*Parâmetros!$B$15)*Parâmetros!$B$13*(1+Parâmetros!$B$12))</f>
        <v/>
      </c>
      <c r="S44" s="6"/>
      <c r="T44" s="11" t="str">
        <f aca="false">IF(A44="","",O44+R44+S44)</f>
        <v/>
      </c>
      <c r="U44" s="11" t="str">
        <f aca="false">IF(A44="","",T44/(1-Parâmetros!$B$7))</f>
        <v/>
      </c>
      <c r="V44" s="6"/>
      <c r="W44" s="11" t="str">
        <f aca="false">IF(A44="","",V44*Parâmetros!$B$11)</f>
        <v/>
      </c>
      <c r="X44" s="11" t="str">
        <f aca="false">IF(A44="","",MAX(U44,W44))</f>
        <v/>
      </c>
      <c r="Y44" s="6"/>
      <c r="Z44" s="12" t="str">
        <f aca="false">IF(A44="","",(Y44-T44)/Y44)</f>
        <v/>
      </c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5" t="str">
        <f aca="false">IF(A45="","",SUM(H45:M45))</f>
        <v/>
      </c>
      <c r="O45" s="11" t="str">
        <f aca="false">IF(A45="","",N45*Parâmetros!$B$5)</f>
        <v/>
      </c>
      <c r="P45" s="5" t="str">
        <f aca="false">IF(A45="","",D45*E45*F45/1000000)</f>
        <v/>
      </c>
      <c r="Q45" s="5" t="str">
        <f aca="false">IF(A45="","",D45*E45*G45/1000000)</f>
        <v/>
      </c>
      <c r="R45" s="11" t="str">
        <f aca="false">IF(A45="","",(P45*Parâmetros!$B$14+Q45*Parâmetros!$B$15)*Parâmetros!$B$13*(1+Parâmetros!$B$12))</f>
        <v/>
      </c>
      <c r="S45" s="6"/>
      <c r="T45" s="11" t="str">
        <f aca="false">IF(A45="","",O45+R45+S45)</f>
        <v/>
      </c>
      <c r="U45" s="11" t="str">
        <f aca="false">IF(A45="","",T45/(1-Parâmetros!$B$7))</f>
        <v/>
      </c>
      <c r="V45" s="6"/>
      <c r="W45" s="11" t="str">
        <f aca="false">IF(A45="","",V45*Parâmetros!$B$11)</f>
        <v/>
      </c>
      <c r="X45" s="11" t="str">
        <f aca="false">IF(A45="","",MAX(U45,W45))</f>
        <v/>
      </c>
      <c r="Y45" s="6"/>
      <c r="Z45" s="12" t="str">
        <f aca="false">IF(A45="","",(Y45-T45)/Y45)</f>
        <v/>
      </c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5" t="str">
        <f aca="false">IF(A46="","",SUM(H46:M46))</f>
        <v/>
      </c>
      <c r="O46" s="11" t="str">
        <f aca="false">IF(A46="","",N46*Parâmetros!$B$5)</f>
        <v/>
      </c>
      <c r="P46" s="5" t="str">
        <f aca="false">IF(A46="","",D46*E46*F46/1000000)</f>
        <v/>
      </c>
      <c r="Q46" s="5" t="str">
        <f aca="false">IF(A46="","",D46*E46*G46/1000000)</f>
        <v/>
      </c>
      <c r="R46" s="11" t="str">
        <f aca="false">IF(A46="","",(P46*Parâmetros!$B$14+Q46*Parâmetros!$B$15)*Parâmetros!$B$13*(1+Parâmetros!$B$12))</f>
        <v/>
      </c>
      <c r="S46" s="6"/>
      <c r="T46" s="11" t="str">
        <f aca="false">IF(A46="","",O46+R46+S46)</f>
        <v/>
      </c>
      <c r="U46" s="11" t="str">
        <f aca="false">IF(A46="","",T46/(1-Parâmetros!$B$7))</f>
        <v/>
      </c>
      <c r="V46" s="6"/>
      <c r="W46" s="11" t="str">
        <f aca="false">IF(A46="","",V46*Parâmetros!$B$11)</f>
        <v/>
      </c>
      <c r="X46" s="11" t="str">
        <f aca="false">IF(A46="","",MAX(U46,W46))</f>
        <v/>
      </c>
      <c r="Y46" s="6"/>
      <c r="Z46" s="12" t="str">
        <f aca="false">IF(A46="","",(Y46-T46)/Y46)</f>
        <v/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5" t="str">
        <f aca="false">IF(A47="","",SUM(H47:M47))</f>
        <v/>
      </c>
      <c r="O47" s="11" t="str">
        <f aca="false">IF(A47="","",N47*Parâmetros!$B$5)</f>
        <v/>
      </c>
      <c r="P47" s="5" t="str">
        <f aca="false">IF(A47="","",D47*E47*F47/1000000)</f>
        <v/>
      </c>
      <c r="Q47" s="5" t="str">
        <f aca="false">IF(A47="","",D47*E47*G47/1000000)</f>
        <v/>
      </c>
      <c r="R47" s="11" t="str">
        <f aca="false">IF(A47="","",(P47*Parâmetros!$B$14+Q47*Parâmetros!$B$15)*Parâmetros!$B$13*(1+Parâmetros!$B$12))</f>
        <v/>
      </c>
      <c r="S47" s="6"/>
      <c r="T47" s="11" t="str">
        <f aca="false">IF(A47="","",O47+R47+S47)</f>
        <v/>
      </c>
      <c r="U47" s="11" t="str">
        <f aca="false">IF(A47="","",T47/(1-Parâmetros!$B$7))</f>
        <v/>
      </c>
      <c r="V47" s="6"/>
      <c r="W47" s="11" t="str">
        <f aca="false">IF(A47="","",V47*Parâmetros!$B$11)</f>
        <v/>
      </c>
      <c r="X47" s="11" t="str">
        <f aca="false">IF(A47="","",MAX(U47,W47))</f>
        <v/>
      </c>
      <c r="Y47" s="6"/>
      <c r="Z47" s="12" t="str">
        <f aca="false">IF(A47="","",(Y47-T47)/Y47)</f>
        <v/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5" t="str">
        <f aca="false">IF(A48="","",SUM(H48:M48))</f>
        <v/>
      </c>
      <c r="O48" s="11" t="str">
        <f aca="false">IF(A48="","",N48*Parâmetros!$B$5)</f>
        <v/>
      </c>
      <c r="P48" s="5" t="str">
        <f aca="false">IF(A48="","",D48*E48*F48/1000000)</f>
        <v/>
      </c>
      <c r="Q48" s="5" t="str">
        <f aca="false">IF(A48="","",D48*E48*G48/1000000)</f>
        <v/>
      </c>
      <c r="R48" s="11" t="str">
        <f aca="false">IF(A48="","",(P48*Parâmetros!$B$14+Q48*Parâmetros!$B$15)*Parâmetros!$B$13*(1+Parâmetros!$B$12))</f>
        <v/>
      </c>
      <c r="S48" s="6"/>
      <c r="T48" s="11" t="str">
        <f aca="false">IF(A48="","",O48+R48+S48)</f>
        <v/>
      </c>
      <c r="U48" s="11" t="str">
        <f aca="false">IF(A48="","",T48/(1-Parâmetros!$B$7))</f>
        <v/>
      </c>
      <c r="V48" s="6"/>
      <c r="W48" s="11" t="str">
        <f aca="false">IF(A48="","",V48*Parâmetros!$B$11)</f>
        <v/>
      </c>
      <c r="X48" s="11" t="str">
        <f aca="false">IF(A48="","",MAX(U48,W48))</f>
        <v/>
      </c>
      <c r="Y48" s="6"/>
      <c r="Z48" s="12" t="str">
        <f aca="false">IF(A48="","",(Y48-T48)/Y48)</f>
        <v/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5" t="str">
        <f aca="false">IF(A49="","",SUM(H49:M49))</f>
        <v/>
      </c>
      <c r="O49" s="11" t="str">
        <f aca="false">IF(A49="","",N49*Parâmetros!$B$5)</f>
        <v/>
      </c>
      <c r="P49" s="5" t="str">
        <f aca="false">IF(A49="","",D49*E49*F49/1000000)</f>
        <v/>
      </c>
      <c r="Q49" s="5" t="str">
        <f aca="false">IF(A49="","",D49*E49*G49/1000000)</f>
        <v/>
      </c>
      <c r="R49" s="11" t="str">
        <f aca="false">IF(A49="","",(P49*Parâmetros!$B$14+Q49*Parâmetros!$B$15)*Parâmetros!$B$13*(1+Parâmetros!$B$12))</f>
        <v/>
      </c>
      <c r="S49" s="6"/>
      <c r="T49" s="11" t="str">
        <f aca="false">IF(A49="","",O49+R49+S49)</f>
        <v/>
      </c>
      <c r="U49" s="11" t="str">
        <f aca="false">IF(A49="","",T49/(1-Parâmetros!$B$7))</f>
        <v/>
      </c>
      <c r="V49" s="6"/>
      <c r="W49" s="11" t="str">
        <f aca="false">IF(A49="","",V49*Parâmetros!$B$11)</f>
        <v/>
      </c>
      <c r="X49" s="11" t="str">
        <f aca="false">IF(A49="","",MAX(U49,W49))</f>
        <v/>
      </c>
      <c r="Y49" s="6"/>
      <c r="Z49" s="12" t="str">
        <f aca="false">IF(A49="","",(Y49-T49)/Y49)</f>
        <v/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5" t="str">
        <f aca="false">IF(A50="","",SUM(H50:M50))</f>
        <v/>
      </c>
      <c r="O50" s="11" t="str">
        <f aca="false">IF(A50="","",N50*Parâmetros!$B$5)</f>
        <v/>
      </c>
      <c r="P50" s="5" t="str">
        <f aca="false">IF(A50="","",D50*E50*F50/1000000)</f>
        <v/>
      </c>
      <c r="Q50" s="5" t="str">
        <f aca="false">IF(A50="","",D50*E50*G50/1000000)</f>
        <v/>
      </c>
      <c r="R50" s="11" t="str">
        <f aca="false">IF(A50="","",(P50*Parâmetros!$B$14+Q50*Parâmetros!$B$15)*Parâmetros!$B$13*(1+Parâmetros!$B$12))</f>
        <v/>
      </c>
      <c r="S50" s="6"/>
      <c r="T50" s="11" t="str">
        <f aca="false">IF(A50="","",O50+R50+S50)</f>
        <v/>
      </c>
      <c r="U50" s="11" t="str">
        <f aca="false">IF(A50="","",T50/(1-Parâmetros!$B$7))</f>
        <v/>
      </c>
      <c r="V50" s="6"/>
      <c r="W50" s="11" t="str">
        <f aca="false">IF(A50="","",V50*Parâmetros!$B$11)</f>
        <v/>
      </c>
      <c r="X50" s="11" t="str">
        <f aca="false">IF(A50="","",MAX(U50,W50))</f>
        <v/>
      </c>
      <c r="Y50" s="6"/>
      <c r="Z50" s="12" t="str">
        <f aca="false">IF(A50="","",(Y50-T50)/Y50)</f>
        <v/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5" t="str">
        <f aca="false">IF(A51="","",SUM(H51:M51))</f>
        <v/>
      </c>
      <c r="O51" s="11" t="str">
        <f aca="false">IF(A51="","",N51*Parâmetros!$B$5)</f>
        <v/>
      </c>
      <c r="P51" s="5" t="str">
        <f aca="false">IF(A51="","",D51*E51*F51/1000000)</f>
        <v/>
      </c>
      <c r="Q51" s="5" t="str">
        <f aca="false">IF(A51="","",D51*E51*G51/1000000)</f>
        <v/>
      </c>
      <c r="R51" s="11" t="str">
        <f aca="false">IF(A51="","",(P51*Parâmetros!$B$14+Q51*Parâmetros!$B$15)*Parâmetros!$B$13*(1+Parâmetros!$B$12))</f>
        <v/>
      </c>
      <c r="S51" s="6"/>
      <c r="T51" s="11" t="str">
        <f aca="false">IF(A51="","",O51+R51+S51)</f>
        <v/>
      </c>
      <c r="U51" s="11" t="str">
        <f aca="false">IF(A51="","",T51/(1-Parâmetros!$B$7))</f>
        <v/>
      </c>
      <c r="V51" s="6"/>
      <c r="W51" s="11" t="str">
        <f aca="false">IF(A51="","",V51*Parâmetros!$B$11)</f>
        <v/>
      </c>
      <c r="X51" s="11" t="str">
        <f aca="false">IF(A51="","",MAX(U51,W51))</f>
        <v/>
      </c>
      <c r="Y51" s="6"/>
      <c r="Z51" s="12" t="str">
        <f aca="false">IF(A51="","",(Y51-T51)/Y51)</f>
        <v/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5" t="str">
        <f aca="false">IF(A52="","",SUM(H52:M52))</f>
        <v/>
      </c>
      <c r="O52" s="11" t="str">
        <f aca="false">IF(A52="","",N52*Parâmetros!$B$5)</f>
        <v/>
      </c>
      <c r="P52" s="5" t="str">
        <f aca="false">IF(A52="","",D52*E52*F52/1000000)</f>
        <v/>
      </c>
      <c r="Q52" s="5" t="str">
        <f aca="false">IF(A52="","",D52*E52*G52/1000000)</f>
        <v/>
      </c>
      <c r="R52" s="11" t="str">
        <f aca="false">IF(A52="","",(P52*Parâmetros!$B$14+Q52*Parâmetros!$B$15)*Parâmetros!$B$13*(1+Parâmetros!$B$12))</f>
        <v/>
      </c>
      <c r="S52" s="6"/>
      <c r="T52" s="11" t="str">
        <f aca="false">IF(A52="","",O52+R52+S52)</f>
        <v/>
      </c>
      <c r="U52" s="11" t="str">
        <f aca="false">IF(A52="","",T52/(1-Parâmetros!$B$7))</f>
        <v/>
      </c>
      <c r="V52" s="6"/>
      <c r="W52" s="11" t="str">
        <f aca="false">IF(A52="","",V52*Parâmetros!$B$11)</f>
        <v/>
      </c>
      <c r="X52" s="11" t="str">
        <f aca="false">IF(A52="","",MAX(U52,W52))</f>
        <v/>
      </c>
      <c r="Y52" s="6"/>
      <c r="Z52" s="12" t="str">
        <f aca="false">IF(A52="","",(Y52-T52)/Y52)</f>
        <v/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5" t="str">
        <f aca="false">IF(A53="","",SUM(H53:M53))</f>
        <v/>
      </c>
      <c r="O53" s="11" t="str">
        <f aca="false">IF(A53="","",N53*Parâmetros!$B$5)</f>
        <v/>
      </c>
      <c r="P53" s="5" t="str">
        <f aca="false">IF(A53="","",D53*E53*F53/1000000)</f>
        <v/>
      </c>
      <c r="Q53" s="5" t="str">
        <f aca="false">IF(A53="","",D53*E53*G53/1000000)</f>
        <v/>
      </c>
      <c r="R53" s="11" t="str">
        <f aca="false">IF(A53="","",(P53*Parâmetros!$B$14+Q53*Parâmetros!$B$15)*Parâmetros!$B$13*(1+Parâmetros!$B$12))</f>
        <v/>
      </c>
      <c r="S53" s="6"/>
      <c r="T53" s="11" t="str">
        <f aca="false">IF(A53="","",O53+R53+S53)</f>
        <v/>
      </c>
      <c r="U53" s="11" t="str">
        <f aca="false">IF(A53="","",T53/(1-Parâmetros!$B$7))</f>
        <v/>
      </c>
      <c r="V53" s="6"/>
      <c r="W53" s="11" t="str">
        <f aca="false">IF(A53="","",V53*Parâmetros!$B$11)</f>
        <v/>
      </c>
      <c r="X53" s="11" t="str">
        <f aca="false">IF(A53="","",MAX(U53,W53))</f>
        <v/>
      </c>
      <c r="Y53" s="6"/>
      <c r="Z53" s="12" t="str">
        <f aca="false">IF(A53="","",(Y53-T53)/Y53)</f>
        <v/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5" t="str">
        <f aca="false">IF(A54="","",SUM(H54:M54))</f>
        <v/>
      </c>
      <c r="O54" s="11" t="str">
        <f aca="false">IF(A54="","",N54*Parâmetros!$B$5)</f>
        <v/>
      </c>
      <c r="P54" s="5" t="str">
        <f aca="false">IF(A54="","",D54*E54*F54/1000000)</f>
        <v/>
      </c>
      <c r="Q54" s="5" t="str">
        <f aca="false">IF(A54="","",D54*E54*G54/1000000)</f>
        <v/>
      </c>
      <c r="R54" s="11" t="str">
        <f aca="false">IF(A54="","",(P54*Parâmetros!$B$14+Q54*Parâmetros!$B$15)*Parâmetros!$B$13*(1+Parâmetros!$B$12))</f>
        <v/>
      </c>
      <c r="S54" s="6"/>
      <c r="T54" s="11" t="str">
        <f aca="false">IF(A54="","",O54+R54+S54)</f>
        <v/>
      </c>
      <c r="U54" s="11" t="str">
        <f aca="false">IF(A54="","",T54/(1-Parâmetros!$B$7))</f>
        <v/>
      </c>
      <c r="V54" s="6"/>
      <c r="W54" s="11" t="str">
        <f aca="false">IF(A54="","",V54*Parâmetros!$B$11)</f>
        <v/>
      </c>
      <c r="X54" s="11" t="str">
        <f aca="false">IF(A54="","",MAX(U54,W54))</f>
        <v/>
      </c>
      <c r="Y54" s="6"/>
      <c r="Z54" s="12" t="str">
        <f aca="false">IF(A54="","",(Y54-T54)/Y54)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5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7" min="1" style="0" width="18"/>
    <col collapsed="false" customWidth="true" hidden="false" outlineLevel="0" max="28" min="28" style="0" width="35"/>
  </cols>
  <sheetData>
    <row r="1" customFormat="false" ht="31.5" hidden="false" customHeight="true" outlineLevel="0" collapsed="false">
      <c r="A1" s="1" t="s">
        <v>344</v>
      </c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31.5" hidden="false" customHeight="true" outlineLevel="0" collapsed="false">
      <c r="A2" s="2" t="s">
        <v>345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42" hidden="false" customHeight="true" outlineLevel="0" collapsed="false">
      <c r="A4" s="4" t="s">
        <v>149</v>
      </c>
      <c r="B4" s="4" t="s">
        <v>318</v>
      </c>
      <c r="C4" s="4" t="s">
        <v>346</v>
      </c>
      <c r="D4" s="4" t="s">
        <v>347</v>
      </c>
      <c r="E4" s="4" t="s">
        <v>348</v>
      </c>
      <c r="F4" s="4" t="s">
        <v>349</v>
      </c>
      <c r="G4" s="4" t="s">
        <v>350</v>
      </c>
      <c r="H4" s="4" t="s">
        <v>154</v>
      </c>
      <c r="I4" s="4" t="s">
        <v>351</v>
      </c>
      <c r="J4" s="4" t="s">
        <v>352</v>
      </c>
      <c r="K4" s="4" t="s">
        <v>353</v>
      </c>
      <c r="L4" s="4" t="s">
        <v>354</v>
      </c>
      <c r="M4" s="4" t="s">
        <v>355</v>
      </c>
      <c r="N4" s="4" t="s">
        <v>356</v>
      </c>
      <c r="O4" s="4" t="s">
        <v>357</v>
      </c>
      <c r="P4" s="4" t="s">
        <v>358</v>
      </c>
      <c r="Q4" s="4" t="s">
        <v>359</v>
      </c>
      <c r="R4" s="4" t="s">
        <v>360</v>
      </c>
      <c r="S4" s="4" t="s">
        <v>361</v>
      </c>
      <c r="T4" s="4" t="s">
        <v>362</v>
      </c>
      <c r="U4" s="4" t="s">
        <v>363</v>
      </c>
      <c r="V4" s="4" t="s">
        <v>364</v>
      </c>
      <c r="W4" s="4" t="s">
        <v>365</v>
      </c>
      <c r="X4" s="4" t="s">
        <v>366</v>
      </c>
      <c r="Y4" s="4" t="s">
        <v>367</v>
      </c>
      <c r="Z4" s="4" t="s">
        <v>368</v>
      </c>
      <c r="AA4" s="4" t="s">
        <v>369</v>
      </c>
      <c r="AB4" s="4" t="s">
        <v>370</v>
      </c>
    </row>
    <row r="5" customFormat="false" ht="15" hidden="false" customHeight="false" outlineLevel="0" collapsed="false">
      <c r="A5" s="8" t="s">
        <v>178</v>
      </c>
      <c r="B5" s="8" t="s">
        <v>343</v>
      </c>
      <c r="C5" s="8" t="n">
        <v>1200</v>
      </c>
      <c r="D5" s="8" t="n">
        <v>1250</v>
      </c>
      <c r="E5" s="8" t="n">
        <v>180</v>
      </c>
      <c r="F5" s="8" t="n">
        <v>4</v>
      </c>
      <c r="G5" s="7" t="n">
        <v>0.08</v>
      </c>
      <c r="H5" s="7" t="n">
        <v>0.1</v>
      </c>
      <c r="I5" s="5" t="n">
        <f aca="false">MAX(0,D5*H5-C5*G5)</f>
        <v>29</v>
      </c>
      <c r="J5" s="6" t="n">
        <v>2500</v>
      </c>
      <c r="K5" s="7" t="n">
        <v>0.35</v>
      </c>
      <c r="L5" s="11" t="n">
        <f aca="false">I5*J5*K5</f>
        <v>25375</v>
      </c>
      <c r="M5" s="8" t="n">
        <v>180</v>
      </c>
      <c r="N5" s="8" t="n">
        <v>120</v>
      </c>
      <c r="O5" s="5" t="n">
        <f aca="false">MAX(0,M5-N5)</f>
        <v>60</v>
      </c>
      <c r="P5" s="6" t="n">
        <v>55</v>
      </c>
      <c r="Q5" s="11" t="n">
        <f aca="false">O5*P5</f>
        <v>3300</v>
      </c>
      <c r="R5" s="6" t="n">
        <v>1000</v>
      </c>
      <c r="S5" s="11" t="n">
        <f aca="false">L5+Q5+R5</f>
        <v>29675</v>
      </c>
      <c r="T5" s="6" t="n">
        <v>12000</v>
      </c>
      <c r="U5" s="6" t="n">
        <v>6500</v>
      </c>
      <c r="V5" s="6" t="n">
        <v>0</v>
      </c>
      <c r="W5" s="11" t="n">
        <f aca="false">U5+V5</f>
        <v>6500</v>
      </c>
      <c r="X5" s="11" t="n">
        <f aca="false">S5-W5</f>
        <v>23175</v>
      </c>
      <c r="Y5" s="12" t="n">
        <f aca="false">IF(W5=0,0,X5/W5)</f>
        <v>3.56538461538462</v>
      </c>
      <c r="Z5" s="5" t="n">
        <f aca="false">IF(X5&lt;=0,0,T5/X5)</f>
        <v>0.517799352750809</v>
      </c>
      <c r="AA5" s="8" t="s">
        <v>371</v>
      </c>
      <c r="AB5" s="8" t="s">
        <v>372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7"/>
      <c r="H6" s="7"/>
      <c r="I6" s="5" t="str">
        <f aca="false">IF(A6="","",MAX(0,D6*H6-C6*G6))</f>
        <v/>
      </c>
      <c r="J6" s="6"/>
      <c r="K6" s="7"/>
      <c r="L6" s="11" t="str">
        <f aca="false">IF(A6="","",I6*J6*K6)</f>
        <v/>
      </c>
      <c r="M6" s="8"/>
      <c r="N6" s="8"/>
      <c r="O6" s="5" t="str">
        <f aca="false">IF(A6="","",MAX(0,M6-N6))</f>
        <v/>
      </c>
      <c r="P6" s="6"/>
      <c r="Q6" s="11" t="str">
        <f aca="false">IF(A6="","",O6*P6)</f>
        <v/>
      </c>
      <c r="R6" s="6"/>
      <c r="S6" s="11" t="str">
        <f aca="false">IF(A6="","",L6+Q6+R6)</f>
        <v/>
      </c>
      <c r="T6" s="6"/>
      <c r="U6" s="6"/>
      <c r="V6" s="6"/>
      <c r="W6" s="11" t="str">
        <f aca="false">IF(A6="","",U6+V6)</f>
        <v/>
      </c>
      <c r="X6" s="11" t="str">
        <f aca="false">IF(A6="","",S6-W6)</f>
        <v/>
      </c>
      <c r="Y6" s="12" t="str">
        <f aca="false">IF(A6="","",IF(W6=0,0,X6/W6))</f>
        <v/>
      </c>
      <c r="Z6" s="5" t="str">
        <f aca="false">IF(A6="","",IF(X6&lt;=0,0,T6/X6))</f>
        <v/>
      </c>
      <c r="AA6" s="8"/>
      <c r="AB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7"/>
      <c r="H7" s="7"/>
      <c r="I7" s="5" t="str">
        <f aca="false">IF(A7="","",MAX(0,D7*H7-C7*G7))</f>
        <v/>
      </c>
      <c r="J7" s="6"/>
      <c r="K7" s="7"/>
      <c r="L7" s="11" t="str">
        <f aca="false">IF(A7="","",I7*J7*K7)</f>
        <v/>
      </c>
      <c r="M7" s="8"/>
      <c r="N7" s="8"/>
      <c r="O7" s="5" t="str">
        <f aca="false">IF(A7="","",MAX(0,M7-N7))</f>
        <v/>
      </c>
      <c r="P7" s="6"/>
      <c r="Q7" s="11" t="str">
        <f aca="false">IF(A7="","",O7*P7)</f>
        <v/>
      </c>
      <c r="R7" s="6"/>
      <c r="S7" s="11" t="str">
        <f aca="false">IF(A7="","",L7+Q7+R7)</f>
        <v/>
      </c>
      <c r="T7" s="6"/>
      <c r="U7" s="6"/>
      <c r="V7" s="6"/>
      <c r="W7" s="11" t="str">
        <f aca="false">IF(A7="","",U7+V7)</f>
        <v/>
      </c>
      <c r="X7" s="11" t="str">
        <f aca="false">IF(A7="","",S7-W7)</f>
        <v/>
      </c>
      <c r="Y7" s="12" t="str">
        <f aca="false">IF(A7="","",IF(W7=0,0,X7/W7))</f>
        <v/>
      </c>
      <c r="Z7" s="5" t="str">
        <f aca="false">IF(A7="","",IF(X7&lt;=0,0,T7/X7))</f>
        <v/>
      </c>
      <c r="AA7" s="8"/>
      <c r="AB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7"/>
      <c r="H8" s="7"/>
      <c r="I8" s="5" t="str">
        <f aca="false">IF(A8="","",MAX(0,D8*H8-C8*G8))</f>
        <v/>
      </c>
      <c r="J8" s="6"/>
      <c r="K8" s="7"/>
      <c r="L8" s="11" t="str">
        <f aca="false">IF(A8="","",I8*J8*K8)</f>
        <v/>
      </c>
      <c r="M8" s="8"/>
      <c r="N8" s="8"/>
      <c r="O8" s="5" t="str">
        <f aca="false">IF(A8="","",MAX(0,M8-N8))</f>
        <v/>
      </c>
      <c r="P8" s="6"/>
      <c r="Q8" s="11" t="str">
        <f aca="false">IF(A8="","",O8*P8)</f>
        <v/>
      </c>
      <c r="R8" s="6"/>
      <c r="S8" s="11" t="str">
        <f aca="false">IF(A8="","",L8+Q8+R8)</f>
        <v/>
      </c>
      <c r="T8" s="6"/>
      <c r="U8" s="6"/>
      <c r="V8" s="6"/>
      <c r="W8" s="11" t="str">
        <f aca="false">IF(A8="","",U8+V8)</f>
        <v/>
      </c>
      <c r="X8" s="11" t="str">
        <f aca="false">IF(A8="","",S8-W8)</f>
        <v/>
      </c>
      <c r="Y8" s="12" t="str">
        <f aca="false">IF(A8="","",IF(W8=0,0,X8/W8))</f>
        <v/>
      </c>
      <c r="Z8" s="5" t="str">
        <f aca="false">IF(A8="","",IF(X8&lt;=0,0,T8/X8))</f>
        <v/>
      </c>
      <c r="AA8" s="8"/>
      <c r="AB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7"/>
      <c r="H9" s="7"/>
      <c r="I9" s="5" t="str">
        <f aca="false">IF(A9="","",MAX(0,D9*H9-C9*G9))</f>
        <v/>
      </c>
      <c r="J9" s="6"/>
      <c r="K9" s="7"/>
      <c r="L9" s="11" t="str">
        <f aca="false">IF(A9="","",I9*J9*K9)</f>
        <v/>
      </c>
      <c r="M9" s="8"/>
      <c r="N9" s="8"/>
      <c r="O9" s="5" t="str">
        <f aca="false">IF(A9="","",MAX(0,M9-N9))</f>
        <v/>
      </c>
      <c r="P9" s="6"/>
      <c r="Q9" s="11" t="str">
        <f aca="false">IF(A9="","",O9*P9)</f>
        <v/>
      </c>
      <c r="R9" s="6"/>
      <c r="S9" s="11" t="str">
        <f aca="false">IF(A9="","",L9+Q9+R9)</f>
        <v/>
      </c>
      <c r="T9" s="6"/>
      <c r="U9" s="6"/>
      <c r="V9" s="6"/>
      <c r="W9" s="11" t="str">
        <f aca="false">IF(A9="","",U9+V9)</f>
        <v/>
      </c>
      <c r="X9" s="11" t="str">
        <f aca="false">IF(A9="","",S9-W9)</f>
        <v/>
      </c>
      <c r="Y9" s="12" t="str">
        <f aca="false">IF(A9="","",IF(W9=0,0,X9/W9))</f>
        <v/>
      </c>
      <c r="Z9" s="5" t="str">
        <f aca="false">IF(A9="","",IF(X9&lt;=0,0,T9/X9))</f>
        <v/>
      </c>
      <c r="AA9" s="8"/>
      <c r="AB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7"/>
      <c r="H10" s="7"/>
      <c r="I10" s="5" t="str">
        <f aca="false">IF(A10="","",MAX(0,D10*H10-C10*G10))</f>
        <v/>
      </c>
      <c r="J10" s="6"/>
      <c r="K10" s="7"/>
      <c r="L10" s="11" t="str">
        <f aca="false">IF(A10="","",I10*J10*K10)</f>
        <v/>
      </c>
      <c r="M10" s="8"/>
      <c r="N10" s="8"/>
      <c r="O10" s="5" t="str">
        <f aca="false">IF(A10="","",MAX(0,M10-N10))</f>
        <v/>
      </c>
      <c r="P10" s="6"/>
      <c r="Q10" s="11" t="str">
        <f aca="false">IF(A10="","",O10*P10)</f>
        <v/>
      </c>
      <c r="R10" s="6"/>
      <c r="S10" s="11" t="str">
        <f aca="false">IF(A10="","",L10+Q10+R10)</f>
        <v/>
      </c>
      <c r="T10" s="6"/>
      <c r="U10" s="6"/>
      <c r="V10" s="6"/>
      <c r="W10" s="11" t="str">
        <f aca="false">IF(A10="","",U10+V10)</f>
        <v/>
      </c>
      <c r="X10" s="11" t="str">
        <f aca="false">IF(A10="","",S10-W10)</f>
        <v/>
      </c>
      <c r="Y10" s="12" t="str">
        <f aca="false">IF(A10="","",IF(W10=0,0,X10/W10))</f>
        <v/>
      </c>
      <c r="Z10" s="5" t="str">
        <f aca="false">IF(A10="","",IF(X10&lt;=0,0,T10/X10))</f>
        <v/>
      </c>
      <c r="AA10" s="8"/>
      <c r="AB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7"/>
      <c r="H11" s="7"/>
      <c r="I11" s="5" t="str">
        <f aca="false">IF(A11="","",MAX(0,D11*H11-C11*G11))</f>
        <v/>
      </c>
      <c r="J11" s="6"/>
      <c r="K11" s="7"/>
      <c r="L11" s="11" t="str">
        <f aca="false">IF(A11="","",I11*J11*K11)</f>
        <v/>
      </c>
      <c r="M11" s="8"/>
      <c r="N11" s="8"/>
      <c r="O11" s="5" t="str">
        <f aca="false">IF(A11="","",MAX(0,M11-N11))</f>
        <v/>
      </c>
      <c r="P11" s="6"/>
      <c r="Q11" s="11" t="str">
        <f aca="false">IF(A11="","",O11*P11)</f>
        <v/>
      </c>
      <c r="R11" s="6"/>
      <c r="S11" s="11" t="str">
        <f aca="false">IF(A11="","",L11+Q11+R11)</f>
        <v/>
      </c>
      <c r="T11" s="6"/>
      <c r="U11" s="6"/>
      <c r="V11" s="6"/>
      <c r="W11" s="11" t="str">
        <f aca="false">IF(A11="","",U11+V11)</f>
        <v/>
      </c>
      <c r="X11" s="11" t="str">
        <f aca="false">IF(A11="","",S11-W11)</f>
        <v/>
      </c>
      <c r="Y11" s="12" t="str">
        <f aca="false">IF(A11="","",IF(W11=0,0,X11/W11))</f>
        <v/>
      </c>
      <c r="Z11" s="5" t="str">
        <f aca="false">IF(A11="","",IF(X11&lt;=0,0,T11/X11))</f>
        <v/>
      </c>
      <c r="AA11" s="8"/>
      <c r="AB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7"/>
      <c r="H12" s="7"/>
      <c r="I12" s="5" t="str">
        <f aca="false">IF(A12="","",MAX(0,D12*H12-C12*G12))</f>
        <v/>
      </c>
      <c r="J12" s="6"/>
      <c r="K12" s="7"/>
      <c r="L12" s="11" t="str">
        <f aca="false">IF(A12="","",I12*J12*K12)</f>
        <v/>
      </c>
      <c r="M12" s="8"/>
      <c r="N12" s="8"/>
      <c r="O12" s="5" t="str">
        <f aca="false">IF(A12="","",MAX(0,M12-N12))</f>
        <v/>
      </c>
      <c r="P12" s="6"/>
      <c r="Q12" s="11" t="str">
        <f aca="false">IF(A12="","",O12*P12)</f>
        <v/>
      </c>
      <c r="R12" s="6"/>
      <c r="S12" s="11" t="str">
        <f aca="false">IF(A12="","",L12+Q12+R12)</f>
        <v/>
      </c>
      <c r="T12" s="6"/>
      <c r="U12" s="6"/>
      <c r="V12" s="6"/>
      <c r="W12" s="11" t="str">
        <f aca="false">IF(A12="","",U12+V12)</f>
        <v/>
      </c>
      <c r="X12" s="11" t="str">
        <f aca="false">IF(A12="","",S12-W12)</f>
        <v/>
      </c>
      <c r="Y12" s="12" t="str">
        <f aca="false">IF(A12="","",IF(W12=0,0,X12/W12))</f>
        <v/>
      </c>
      <c r="Z12" s="5" t="str">
        <f aca="false">IF(A12="","",IF(X12&lt;=0,0,T12/X12))</f>
        <v/>
      </c>
      <c r="AA12" s="8"/>
      <c r="AB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7"/>
      <c r="H13" s="7"/>
      <c r="I13" s="5" t="str">
        <f aca="false">IF(A13="","",MAX(0,D13*H13-C13*G13))</f>
        <v/>
      </c>
      <c r="J13" s="6"/>
      <c r="K13" s="7"/>
      <c r="L13" s="11" t="str">
        <f aca="false">IF(A13="","",I13*J13*K13)</f>
        <v/>
      </c>
      <c r="M13" s="8"/>
      <c r="N13" s="8"/>
      <c r="O13" s="5" t="str">
        <f aca="false">IF(A13="","",MAX(0,M13-N13))</f>
        <v/>
      </c>
      <c r="P13" s="6"/>
      <c r="Q13" s="11" t="str">
        <f aca="false">IF(A13="","",O13*P13)</f>
        <v/>
      </c>
      <c r="R13" s="6"/>
      <c r="S13" s="11" t="str">
        <f aca="false">IF(A13="","",L13+Q13+R13)</f>
        <v/>
      </c>
      <c r="T13" s="6"/>
      <c r="U13" s="6"/>
      <c r="V13" s="6"/>
      <c r="W13" s="11" t="str">
        <f aca="false">IF(A13="","",U13+V13)</f>
        <v/>
      </c>
      <c r="X13" s="11" t="str">
        <f aca="false">IF(A13="","",S13-W13)</f>
        <v/>
      </c>
      <c r="Y13" s="12" t="str">
        <f aca="false">IF(A13="","",IF(W13=0,0,X13/W13))</f>
        <v/>
      </c>
      <c r="Z13" s="5" t="str">
        <f aca="false">IF(A13="","",IF(X13&lt;=0,0,T13/X13))</f>
        <v/>
      </c>
      <c r="AA13" s="8"/>
      <c r="AB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7"/>
      <c r="H14" s="7"/>
      <c r="I14" s="5" t="str">
        <f aca="false">IF(A14="","",MAX(0,D14*H14-C14*G14))</f>
        <v/>
      </c>
      <c r="J14" s="6"/>
      <c r="K14" s="7"/>
      <c r="L14" s="11" t="str">
        <f aca="false">IF(A14="","",I14*J14*K14)</f>
        <v/>
      </c>
      <c r="M14" s="8"/>
      <c r="N14" s="8"/>
      <c r="O14" s="5" t="str">
        <f aca="false">IF(A14="","",MAX(0,M14-N14))</f>
        <v/>
      </c>
      <c r="P14" s="6"/>
      <c r="Q14" s="11" t="str">
        <f aca="false">IF(A14="","",O14*P14)</f>
        <v/>
      </c>
      <c r="R14" s="6"/>
      <c r="S14" s="11" t="str">
        <f aca="false">IF(A14="","",L14+Q14+R14)</f>
        <v/>
      </c>
      <c r="T14" s="6"/>
      <c r="U14" s="6"/>
      <c r="V14" s="6"/>
      <c r="W14" s="11" t="str">
        <f aca="false">IF(A14="","",U14+V14)</f>
        <v/>
      </c>
      <c r="X14" s="11" t="str">
        <f aca="false">IF(A14="","",S14-W14)</f>
        <v/>
      </c>
      <c r="Y14" s="12" t="str">
        <f aca="false">IF(A14="","",IF(W14=0,0,X14/W14))</f>
        <v/>
      </c>
      <c r="Z14" s="5" t="str">
        <f aca="false">IF(A14="","",IF(X14&lt;=0,0,T14/X14))</f>
        <v/>
      </c>
      <c r="AA14" s="8"/>
      <c r="AB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7"/>
      <c r="H15" s="7"/>
      <c r="I15" s="5" t="str">
        <f aca="false">IF(A15="","",MAX(0,D15*H15-C15*G15))</f>
        <v/>
      </c>
      <c r="J15" s="6"/>
      <c r="K15" s="7"/>
      <c r="L15" s="11" t="str">
        <f aca="false">IF(A15="","",I15*J15*K15)</f>
        <v/>
      </c>
      <c r="M15" s="8"/>
      <c r="N15" s="8"/>
      <c r="O15" s="5" t="str">
        <f aca="false">IF(A15="","",MAX(0,M15-N15))</f>
        <v/>
      </c>
      <c r="P15" s="6"/>
      <c r="Q15" s="11" t="str">
        <f aca="false">IF(A15="","",O15*P15)</f>
        <v/>
      </c>
      <c r="R15" s="6"/>
      <c r="S15" s="11" t="str">
        <f aca="false">IF(A15="","",L15+Q15+R15)</f>
        <v/>
      </c>
      <c r="T15" s="6"/>
      <c r="U15" s="6"/>
      <c r="V15" s="6"/>
      <c r="W15" s="11" t="str">
        <f aca="false">IF(A15="","",U15+V15)</f>
        <v/>
      </c>
      <c r="X15" s="11" t="str">
        <f aca="false">IF(A15="","",S15-W15)</f>
        <v/>
      </c>
      <c r="Y15" s="12" t="str">
        <f aca="false">IF(A15="","",IF(W15=0,0,X15/W15))</f>
        <v/>
      </c>
      <c r="Z15" s="5" t="str">
        <f aca="false">IF(A15="","",IF(X15&lt;=0,0,T15/X15))</f>
        <v/>
      </c>
      <c r="AA15" s="8"/>
      <c r="AB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7"/>
      <c r="H16" s="7"/>
      <c r="I16" s="5" t="str">
        <f aca="false">IF(A16="","",MAX(0,D16*H16-C16*G16))</f>
        <v/>
      </c>
      <c r="J16" s="6"/>
      <c r="K16" s="7"/>
      <c r="L16" s="11" t="str">
        <f aca="false">IF(A16="","",I16*J16*K16)</f>
        <v/>
      </c>
      <c r="M16" s="8"/>
      <c r="N16" s="8"/>
      <c r="O16" s="5" t="str">
        <f aca="false">IF(A16="","",MAX(0,M16-N16))</f>
        <v/>
      </c>
      <c r="P16" s="6"/>
      <c r="Q16" s="11" t="str">
        <f aca="false">IF(A16="","",O16*P16)</f>
        <v/>
      </c>
      <c r="R16" s="6"/>
      <c r="S16" s="11" t="str">
        <f aca="false">IF(A16="","",L16+Q16+R16)</f>
        <v/>
      </c>
      <c r="T16" s="6"/>
      <c r="U16" s="6"/>
      <c r="V16" s="6"/>
      <c r="W16" s="11" t="str">
        <f aca="false">IF(A16="","",U16+V16)</f>
        <v/>
      </c>
      <c r="X16" s="11" t="str">
        <f aca="false">IF(A16="","",S16-W16)</f>
        <v/>
      </c>
      <c r="Y16" s="12" t="str">
        <f aca="false">IF(A16="","",IF(W16=0,0,X16/W16))</f>
        <v/>
      </c>
      <c r="Z16" s="5" t="str">
        <f aca="false">IF(A16="","",IF(X16&lt;=0,0,T16/X16))</f>
        <v/>
      </c>
      <c r="AA16" s="8"/>
      <c r="AB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7"/>
      <c r="H17" s="7"/>
      <c r="I17" s="5" t="str">
        <f aca="false">IF(A17="","",MAX(0,D17*H17-C17*G17))</f>
        <v/>
      </c>
      <c r="J17" s="6"/>
      <c r="K17" s="7"/>
      <c r="L17" s="11" t="str">
        <f aca="false">IF(A17="","",I17*J17*K17)</f>
        <v/>
      </c>
      <c r="M17" s="8"/>
      <c r="N17" s="8"/>
      <c r="O17" s="5" t="str">
        <f aca="false">IF(A17="","",MAX(0,M17-N17))</f>
        <v/>
      </c>
      <c r="P17" s="6"/>
      <c r="Q17" s="11" t="str">
        <f aca="false">IF(A17="","",O17*P17)</f>
        <v/>
      </c>
      <c r="R17" s="6"/>
      <c r="S17" s="11" t="str">
        <f aca="false">IF(A17="","",L17+Q17+R17)</f>
        <v/>
      </c>
      <c r="T17" s="6"/>
      <c r="U17" s="6"/>
      <c r="V17" s="6"/>
      <c r="W17" s="11" t="str">
        <f aca="false">IF(A17="","",U17+V17)</f>
        <v/>
      </c>
      <c r="X17" s="11" t="str">
        <f aca="false">IF(A17="","",S17-W17)</f>
        <v/>
      </c>
      <c r="Y17" s="12" t="str">
        <f aca="false">IF(A17="","",IF(W17=0,0,X17/W17))</f>
        <v/>
      </c>
      <c r="Z17" s="5" t="str">
        <f aca="false">IF(A17="","",IF(X17&lt;=0,0,T17/X17))</f>
        <v/>
      </c>
      <c r="AA17" s="8"/>
      <c r="AB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7"/>
      <c r="H18" s="7"/>
      <c r="I18" s="5" t="str">
        <f aca="false">IF(A18="","",MAX(0,D18*H18-C18*G18))</f>
        <v/>
      </c>
      <c r="J18" s="6"/>
      <c r="K18" s="7"/>
      <c r="L18" s="11" t="str">
        <f aca="false">IF(A18="","",I18*J18*K18)</f>
        <v/>
      </c>
      <c r="M18" s="8"/>
      <c r="N18" s="8"/>
      <c r="O18" s="5" t="str">
        <f aca="false">IF(A18="","",MAX(0,M18-N18))</f>
        <v/>
      </c>
      <c r="P18" s="6"/>
      <c r="Q18" s="11" t="str">
        <f aca="false">IF(A18="","",O18*P18)</f>
        <v/>
      </c>
      <c r="R18" s="6"/>
      <c r="S18" s="11" t="str">
        <f aca="false">IF(A18="","",L18+Q18+R18)</f>
        <v/>
      </c>
      <c r="T18" s="6"/>
      <c r="U18" s="6"/>
      <c r="V18" s="6"/>
      <c r="W18" s="11" t="str">
        <f aca="false">IF(A18="","",U18+V18)</f>
        <v/>
      </c>
      <c r="X18" s="11" t="str">
        <f aca="false">IF(A18="","",S18-W18)</f>
        <v/>
      </c>
      <c r="Y18" s="12" t="str">
        <f aca="false">IF(A18="","",IF(W18=0,0,X18/W18))</f>
        <v/>
      </c>
      <c r="Z18" s="5" t="str">
        <f aca="false">IF(A18="","",IF(X18&lt;=0,0,T18/X18))</f>
        <v/>
      </c>
      <c r="AA18" s="8"/>
      <c r="AB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7"/>
      <c r="H19" s="7"/>
      <c r="I19" s="5" t="str">
        <f aca="false">IF(A19="","",MAX(0,D19*H19-C19*G19))</f>
        <v/>
      </c>
      <c r="J19" s="6"/>
      <c r="K19" s="7"/>
      <c r="L19" s="11" t="str">
        <f aca="false">IF(A19="","",I19*J19*K19)</f>
        <v/>
      </c>
      <c r="M19" s="8"/>
      <c r="N19" s="8"/>
      <c r="O19" s="5" t="str">
        <f aca="false">IF(A19="","",MAX(0,M19-N19))</f>
        <v/>
      </c>
      <c r="P19" s="6"/>
      <c r="Q19" s="11" t="str">
        <f aca="false">IF(A19="","",O19*P19)</f>
        <v/>
      </c>
      <c r="R19" s="6"/>
      <c r="S19" s="11" t="str">
        <f aca="false">IF(A19="","",L19+Q19+R19)</f>
        <v/>
      </c>
      <c r="T19" s="6"/>
      <c r="U19" s="6"/>
      <c r="V19" s="6"/>
      <c r="W19" s="11" t="str">
        <f aca="false">IF(A19="","",U19+V19)</f>
        <v/>
      </c>
      <c r="X19" s="11" t="str">
        <f aca="false">IF(A19="","",S19-W19)</f>
        <v/>
      </c>
      <c r="Y19" s="12" t="str">
        <f aca="false">IF(A19="","",IF(W19=0,0,X19/W19))</f>
        <v/>
      </c>
      <c r="Z19" s="5" t="str">
        <f aca="false">IF(A19="","",IF(X19&lt;=0,0,T19/X19))</f>
        <v/>
      </c>
      <c r="AA19" s="8"/>
      <c r="AB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7"/>
      <c r="H20" s="7"/>
      <c r="I20" s="5" t="str">
        <f aca="false">IF(A20="","",MAX(0,D20*H20-C20*G20))</f>
        <v/>
      </c>
      <c r="J20" s="6"/>
      <c r="K20" s="7"/>
      <c r="L20" s="11" t="str">
        <f aca="false">IF(A20="","",I20*J20*K20)</f>
        <v/>
      </c>
      <c r="M20" s="8"/>
      <c r="N20" s="8"/>
      <c r="O20" s="5" t="str">
        <f aca="false">IF(A20="","",MAX(0,M20-N20))</f>
        <v/>
      </c>
      <c r="P20" s="6"/>
      <c r="Q20" s="11" t="str">
        <f aca="false">IF(A20="","",O20*P20)</f>
        <v/>
      </c>
      <c r="R20" s="6"/>
      <c r="S20" s="11" t="str">
        <f aca="false">IF(A20="","",L20+Q20+R20)</f>
        <v/>
      </c>
      <c r="T20" s="6"/>
      <c r="U20" s="6"/>
      <c r="V20" s="6"/>
      <c r="W20" s="11" t="str">
        <f aca="false">IF(A20="","",U20+V20)</f>
        <v/>
      </c>
      <c r="X20" s="11" t="str">
        <f aca="false">IF(A20="","",S20-W20)</f>
        <v/>
      </c>
      <c r="Y20" s="12" t="str">
        <f aca="false">IF(A20="","",IF(W20=0,0,X20/W20))</f>
        <v/>
      </c>
      <c r="Z20" s="5" t="str">
        <f aca="false">IF(A20="","",IF(X20&lt;=0,0,T20/X20))</f>
        <v/>
      </c>
      <c r="AA20" s="8"/>
      <c r="AB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7"/>
      <c r="H21" s="7"/>
      <c r="I21" s="5" t="str">
        <f aca="false">IF(A21="","",MAX(0,D21*H21-C21*G21))</f>
        <v/>
      </c>
      <c r="J21" s="6"/>
      <c r="K21" s="7"/>
      <c r="L21" s="11" t="str">
        <f aca="false">IF(A21="","",I21*J21*K21)</f>
        <v/>
      </c>
      <c r="M21" s="8"/>
      <c r="N21" s="8"/>
      <c r="O21" s="5" t="str">
        <f aca="false">IF(A21="","",MAX(0,M21-N21))</f>
        <v/>
      </c>
      <c r="P21" s="6"/>
      <c r="Q21" s="11" t="str">
        <f aca="false">IF(A21="","",O21*P21)</f>
        <v/>
      </c>
      <c r="R21" s="6"/>
      <c r="S21" s="11" t="str">
        <f aca="false">IF(A21="","",L21+Q21+R21)</f>
        <v/>
      </c>
      <c r="T21" s="6"/>
      <c r="U21" s="6"/>
      <c r="V21" s="6"/>
      <c r="W21" s="11" t="str">
        <f aca="false">IF(A21="","",U21+V21)</f>
        <v/>
      </c>
      <c r="X21" s="11" t="str">
        <f aca="false">IF(A21="","",S21-W21)</f>
        <v/>
      </c>
      <c r="Y21" s="12" t="str">
        <f aca="false">IF(A21="","",IF(W21=0,0,X21/W21))</f>
        <v/>
      </c>
      <c r="Z21" s="5" t="str">
        <f aca="false">IF(A21="","",IF(X21&lt;=0,0,T21/X21))</f>
        <v/>
      </c>
      <c r="AA21" s="8"/>
      <c r="AB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7"/>
      <c r="H22" s="7"/>
      <c r="I22" s="5" t="str">
        <f aca="false">IF(A22="","",MAX(0,D22*H22-C22*G22))</f>
        <v/>
      </c>
      <c r="J22" s="6"/>
      <c r="K22" s="7"/>
      <c r="L22" s="11" t="str">
        <f aca="false">IF(A22="","",I22*J22*K22)</f>
        <v/>
      </c>
      <c r="M22" s="8"/>
      <c r="N22" s="8"/>
      <c r="O22" s="5" t="str">
        <f aca="false">IF(A22="","",MAX(0,M22-N22))</f>
        <v/>
      </c>
      <c r="P22" s="6"/>
      <c r="Q22" s="11" t="str">
        <f aca="false">IF(A22="","",O22*P22)</f>
        <v/>
      </c>
      <c r="R22" s="6"/>
      <c r="S22" s="11" t="str">
        <f aca="false">IF(A22="","",L22+Q22+R22)</f>
        <v/>
      </c>
      <c r="T22" s="6"/>
      <c r="U22" s="6"/>
      <c r="V22" s="6"/>
      <c r="W22" s="11" t="str">
        <f aca="false">IF(A22="","",U22+V22)</f>
        <v/>
      </c>
      <c r="X22" s="11" t="str">
        <f aca="false">IF(A22="","",S22-W22)</f>
        <v/>
      </c>
      <c r="Y22" s="12" t="str">
        <f aca="false">IF(A22="","",IF(W22=0,0,X22/W22))</f>
        <v/>
      </c>
      <c r="Z22" s="5" t="str">
        <f aca="false">IF(A22="","",IF(X22&lt;=0,0,T22/X22))</f>
        <v/>
      </c>
      <c r="AA22" s="8"/>
      <c r="AB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7"/>
      <c r="H23" s="7"/>
      <c r="I23" s="5" t="str">
        <f aca="false">IF(A23="","",MAX(0,D23*H23-C23*G23))</f>
        <v/>
      </c>
      <c r="J23" s="6"/>
      <c r="K23" s="7"/>
      <c r="L23" s="11" t="str">
        <f aca="false">IF(A23="","",I23*J23*K23)</f>
        <v/>
      </c>
      <c r="M23" s="8"/>
      <c r="N23" s="8"/>
      <c r="O23" s="5" t="str">
        <f aca="false">IF(A23="","",MAX(0,M23-N23))</f>
        <v/>
      </c>
      <c r="P23" s="6"/>
      <c r="Q23" s="11" t="str">
        <f aca="false">IF(A23="","",O23*P23)</f>
        <v/>
      </c>
      <c r="R23" s="6"/>
      <c r="S23" s="11" t="str">
        <f aca="false">IF(A23="","",L23+Q23+R23)</f>
        <v/>
      </c>
      <c r="T23" s="6"/>
      <c r="U23" s="6"/>
      <c r="V23" s="6"/>
      <c r="W23" s="11" t="str">
        <f aca="false">IF(A23="","",U23+V23)</f>
        <v/>
      </c>
      <c r="X23" s="11" t="str">
        <f aca="false">IF(A23="","",S23-W23)</f>
        <v/>
      </c>
      <c r="Y23" s="12" t="str">
        <f aca="false">IF(A23="","",IF(W23=0,0,X23/W23))</f>
        <v/>
      </c>
      <c r="Z23" s="5" t="str">
        <f aca="false">IF(A23="","",IF(X23&lt;=0,0,T23/X23))</f>
        <v/>
      </c>
      <c r="AA23" s="8"/>
      <c r="AB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7"/>
      <c r="H24" s="7"/>
      <c r="I24" s="5" t="str">
        <f aca="false">IF(A24="","",MAX(0,D24*H24-C24*G24))</f>
        <v/>
      </c>
      <c r="J24" s="6"/>
      <c r="K24" s="7"/>
      <c r="L24" s="11" t="str">
        <f aca="false">IF(A24="","",I24*J24*K24)</f>
        <v/>
      </c>
      <c r="M24" s="8"/>
      <c r="N24" s="8"/>
      <c r="O24" s="5" t="str">
        <f aca="false">IF(A24="","",MAX(0,M24-N24))</f>
        <v/>
      </c>
      <c r="P24" s="6"/>
      <c r="Q24" s="11" t="str">
        <f aca="false">IF(A24="","",O24*P24)</f>
        <v/>
      </c>
      <c r="R24" s="6"/>
      <c r="S24" s="11" t="str">
        <f aca="false">IF(A24="","",L24+Q24+R24)</f>
        <v/>
      </c>
      <c r="T24" s="6"/>
      <c r="U24" s="6"/>
      <c r="V24" s="6"/>
      <c r="W24" s="11" t="str">
        <f aca="false">IF(A24="","",U24+V24)</f>
        <v/>
      </c>
      <c r="X24" s="11" t="str">
        <f aca="false">IF(A24="","",S24-W24)</f>
        <v/>
      </c>
      <c r="Y24" s="12" t="str">
        <f aca="false">IF(A24="","",IF(W24=0,0,X24/W24))</f>
        <v/>
      </c>
      <c r="Z24" s="5" t="str">
        <f aca="false">IF(A24="","",IF(X24&lt;=0,0,T24/X24))</f>
        <v/>
      </c>
      <c r="AA24" s="8"/>
      <c r="AB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7"/>
      <c r="H25" s="7"/>
      <c r="I25" s="5" t="str">
        <f aca="false">IF(A25="","",MAX(0,D25*H25-C25*G25))</f>
        <v/>
      </c>
      <c r="J25" s="6"/>
      <c r="K25" s="7"/>
      <c r="L25" s="11" t="str">
        <f aca="false">IF(A25="","",I25*J25*K25)</f>
        <v/>
      </c>
      <c r="M25" s="8"/>
      <c r="N25" s="8"/>
      <c r="O25" s="5" t="str">
        <f aca="false">IF(A25="","",MAX(0,M25-N25))</f>
        <v/>
      </c>
      <c r="P25" s="6"/>
      <c r="Q25" s="11" t="str">
        <f aca="false">IF(A25="","",O25*P25)</f>
        <v/>
      </c>
      <c r="R25" s="6"/>
      <c r="S25" s="11" t="str">
        <f aca="false">IF(A25="","",L25+Q25+R25)</f>
        <v/>
      </c>
      <c r="T25" s="6"/>
      <c r="U25" s="6"/>
      <c r="V25" s="6"/>
      <c r="W25" s="11" t="str">
        <f aca="false">IF(A25="","",U25+V25)</f>
        <v/>
      </c>
      <c r="X25" s="11" t="str">
        <f aca="false">IF(A25="","",S25-W25)</f>
        <v/>
      </c>
      <c r="Y25" s="12" t="str">
        <f aca="false">IF(A25="","",IF(W25=0,0,X25/W25))</f>
        <v/>
      </c>
      <c r="Z25" s="5" t="str">
        <f aca="false">IF(A25="","",IF(X25&lt;=0,0,T25/X25))</f>
        <v/>
      </c>
      <c r="AA25" s="8"/>
      <c r="AB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7"/>
      <c r="H26" s="7"/>
      <c r="I26" s="5" t="str">
        <f aca="false">IF(A26="","",MAX(0,D26*H26-C26*G26))</f>
        <v/>
      </c>
      <c r="J26" s="6"/>
      <c r="K26" s="7"/>
      <c r="L26" s="11" t="str">
        <f aca="false">IF(A26="","",I26*J26*K26)</f>
        <v/>
      </c>
      <c r="M26" s="8"/>
      <c r="N26" s="8"/>
      <c r="O26" s="5" t="str">
        <f aca="false">IF(A26="","",MAX(0,M26-N26))</f>
        <v/>
      </c>
      <c r="P26" s="6"/>
      <c r="Q26" s="11" t="str">
        <f aca="false">IF(A26="","",O26*P26)</f>
        <v/>
      </c>
      <c r="R26" s="6"/>
      <c r="S26" s="11" t="str">
        <f aca="false">IF(A26="","",L26+Q26+R26)</f>
        <v/>
      </c>
      <c r="T26" s="6"/>
      <c r="U26" s="6"/>
      <c r="V26" s="6"/>
      <c r="W26" s="11" t="str">
        <f aca="false">IF(A26="","",U26+V26)</f>
        <v/>
      </c>
      <c r="X26" s="11" t="str">
        <f aca="false">IF(A26="","",S26-W26)</f>
        <v/>
      </c>
      <c r="Y26" s="12" t="str">
        <f aca="false">IF(A26="","",IF(W26=0,0,X26/W26))</f>
        <v/>
      </c>
      <c r="Z26" s="5" t="str">
        <f aca="false">IF(A26="","",IF(X26&lt;=0,0,T26/X26))</f>
        <v/>
      </c>
      <c r="AA26" s="8"/>
      <c r="AB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7"/>
      <c r="H27" s="7"/>
      <c r="I27" s="5" t="str">
        <f aca="false">IF(A27="","",MAX(0,D27*H27-C27*G27))</f>
        <v/>
      </c>
      <c r="J27" s="6"/>
      <c r="K27" s="7"/>
      <c r="L27" s="11" t="str">
        <f aca="false">IF(A27="","",I27*J27*K27)</f>
        <v/>
      </c>
      <c r="M27" s="8"/>
      <c r="N27" s="8"/>
      <c r="O27" s="5" t="str">
        <f aca="false">IF(A27="","",MAX(0,M27-N27))</f>
        <v/>
      </c>
      <c r="P27" s="6"/>
      <c r="Q27" s="11" t="str">
        <f aca="false">IF(A27="","",O27*P27)</f>
        <v/>
      </c>
      <c r="R27" s="6"/>
      <c r="S27" s="11" t="str">
        <f aca="false">IF(A27="","",L27+Q27+R27)</f>
        <v/>
      </c>
      <c r="T27" s="6"/>
      <c r="U27" s="6"/>
      <c r="V27" s="6"/>
      <c r="W27" s="11" t="str">
        <f aca="false">IF(A27="","",U27+V27)</f>
        <v/>
      </c>
      <c r="X27" s="11" t="str">
        <f aca="false">IF(A27="","",S27-W27)</f>
        <v/>
      </c>
      <c r="Y27" s="12" t="str">
        <f aca="false">IF(A27="","",IF(W27=0,0,X27/W27))</f>
        <v/>
      </c>
      <c r="Z27" s="5" t="str">
        <f aca="false">IF(A27="","",IF(X27&lt;=0,0,T27/X27))</f>
        <v/>
      </c>
      <c r="AA27" s="8"/>
      <c r="AB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7"/>
      <c r="H28" s="7"/>
      <c r="I28" s="5" t="str">
        <f aca="false">IF(A28="","",MAX(0,D28*H28-C28*G28))</f>
        <v/>
      </c>
      <c r="J28" s="6"/>
      <c r="K28" s="7"/>
      <c r="L28" s="11" t="str">
        <f aca="false">IF(A28="","",I28*J28*K28)</f>
        <v/>
      </c>
      <c r="M28" s="8"/>
      <c r="N28" s="8"/>
      <c r="O28" s="5" t="str">
        <f aca="false">IF(A28="","",MAX(0,M28-N28))</f>
        <v/>
      </c>
      <c r="P28" s="6"/>
      <c r="Q28" s="11" t="str">
        <f aca="false">IF(A28="","",O28*P28)</f>
        <v/>
      </c>
      <c r="R28" s="6"/>
      <c r="S28" s="11" t="str">
        <f aca="false">IF(A28="","",L28+Q28+R28)</f>
        <v/>
      </c>
      <c r="T28" s="6"/>
      <c r="U28" s="6"/>
      <c r="V28" s="6"/>
      <c r="W28" s="11" t="str">
        <f aca="false">IF(A28="","",U28+V28)</f>
        <v/>
      </c>
      <c r="X28" s="11" t="str">
        <f aca="false">IF(A28="","",S28-W28)</f>
        <v/>
      </c>
      <c r="Y28" s="12" t="str">
        <f aca="false">IF(A28="","",IF(W28=0,0,X28/W28))</f>
        <v/>
      </c>
      <c r="Z28" s="5" t="str">
        <f aca="false">IF(A28="","",IF(X28&lt;=0,0,T28/X28))</f>
        <v/>
      </c>
      <c r="AA28" s="8"/>
      <c r="AB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7"/>
      <c r="H29" s="7"/>
      <c r="I29" s="5" t="str">
        <f aca="false">IF(A29="","",MAX(0,D29*H29-C29*G29))</f>
        <v/>
      </c>
      <c r="J29" s="6"/>
      <c r="K29" s="7"/>
      <c r="L29" s="11" t="str">
        <f aca="false">IF(A29="","",I29*J29*K29)</f>
        <v/>
      </c>
      <c r="M29" s="8"/>
      <c r="N29" s="8"/>
      <c r="O29" s="5" t="str">
        <f aca="false">IF(A29="","",MAX(0,M29-N29))</f>
        <v/>
      </c>
      <c r="P29" s="6"/>
      <c r="Q29" s="11" t="str">
        <f aca="false">IF(A29="","",O29*P29)</f>
        <v/>
      </c>
      <c r="R29" s="6"/>
      <c r="S29" s="11" t="str">
        <f aca="false">IF(A29="","",L29+Q29+R29)</f>
        <v/>
      </c>
      <c r="T29" s="6"/>
      <c r="U29" s="6"/>
      <c r="V29" s="6"/>
      <c r="W29" s="11" t="str">
        <f aca="false">IF(A29="","",U29+V29)</f>
        <v/>
      </c>
      <c r="X29" s="11" t="str">
        <f aca="false">IF(A29="","",S29-W29)</f>
        <v/>
      </c>
      <c r="Y29" s="12" t="str">
        <f aca="false">IF(A29="","",IF(W29=0,0,X29/W29))</f>
        <v/>
      </c>
      <c r="Z29" s="5" t="str">
        <f aca="false">IF(A29="","",IF(X29&lt;=0,0,T29/X29))</f>
        <v/>
      </c>
      <c r="AA29" s="8"/>
      <c r="AB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7"/>
      <c r="H30" s="7"/>
      <c r="I30" s="5" t="str">
        <f aca="false">IF(A30="","",MAX(0,D30*H30-C30*G30))</f>
        <v/>
      </c>
      <c r="J30" s="6"/>
      <c r="K30" s="7"/>
      <c r="L30" s="11" t="str">
        <f aca="false">IF(A30="","",I30*J30*K30)</f>
        <v/>
      </c>
      <c r="M30" s="8"/>
      <c r="N30" s="8"/>
      <c r="O30" s="5" t="str">
        <f aca="false">IF(A30="","",MAX(0,M30-N30))</f>
        <v/>
      </c>
      <c r="P30" s="6"/>
      <c r="Q30" s="11" t="str">
        <f aca="false">IF(A30="","",O30*P30)</f>
        <v/>
      </c>
      <c r="R30" s="6"/>
      <c r="S30" s="11" t="str">
        <f aca="false">IF(A30="","",L30+Q30+R30)</f>
        <v/>
      </c>
      <c r="T30" s="6"/>
      <c r="U30" s="6"/>
      <c r="V30" s="6"/>
      <c r="W30" s="11" t="str">
        <f aca="false">IF(A30="","",U30+V30)</f>
        <v/>
      </c>
      <c r="X30" s="11" t="str">
        <f aca="false">IF(A30="","",S30-W30)</f>
        <v/>
      </c>
      <c r="Y30" s="12" t="str">
        <f aca="false">IF(A30="","",IF(W30=0,0,X30/W30))</f>
        <v/>
      </c>
      <c r="Z30" s="5" t="str">
        <f aca="false">IF(A30="","",IF(X30&lt;=0,0,T30/X30))</f>
        <v/>
      </c>
      <c r="AA30" s="8"/>
      <c r="AB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7"/>
      <c r="H31" s="7"/>
      <c r="I31" s="5" t="str">
        <f aca="false">IF(A31="","",MAX(0,D31*H31-C31*G31))</f>
        <v/>
      </c>
      <c r="J31" s="6"/>
      <c r="K31" s="7"/>
      <c r="L31" s="11" t="str">
        <f aca="false">IF(A31="","",I31*J31*K31)</f>
        <v/>
      </c>
      <c r="M31" s="8"/>
      <c r="N31" s="8"/>
      <c r="O31" s="5" t="str">
        <f aca="false">IF(A31="","",MAX(0,M31-N31))</f>
        <v/>
      </c>
      <c r="P31" s="6"/>
      <c r="Q31" s="11" t="str">
        <f aca="false">IF(A31="","",O31*P31)</f>
        <v/>
      </c>
      <c r="R31" s="6"/>
      <c r="S31" s="11" t="str">
        <f aca="false">IF(A31="","",L31+Q31+R31)</f>
        <v/>
      </c>
      <c r="T31" s="6"/>
      <c r="U31" s="6"/>
      <c r="V31" s="6"/>
      <c r="W31" s="11" t="str">
        <f aca="false">IF(A31="","",U31+V31)</f>
        <v/>
      </c>
      <c r="X31" s="11" t="str">
        <f aca="false">IF(A31="","",S31-W31)</f>
        <v/>
      </c>
      <c r="Y31" s="12" t="str">
        <f aca="false">IF(A31="","",IF(W31=0,0,X31/W31))</f>
        <v/>
      </c>
      <c r="Z31" s="5" t="str">
        <f aca="false">IF(A31="","",IF(X31&lt;=0,0,T31/X31))</f>
        <v/>
      </c>
      <c r="AA31" s="8"/>
      <c r="AB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7"/>
      <c r="H32" s="7"/>
      <c r="I32" s="5" t="str">
        <f aca="false">IF(A32="","",MAX(0,D32*H32-C32*G32))</f>
        <v/>
      </c>
      <c r="J32" s="6"/>
      <c r="K32" s="7"/>
      <c r="L32" s="11" t="str">
        <f aca="false">IF(A32="","",I32*J32*K32)</f>
        <v/>
      </c>
      <c r="M32" s="8"/>
      <c r="N32" s="8"/>
      <c r="O32" s="5" t="str">
        <f aca="false">IF(A32="","",MAX(0,M32-N32))</f>
        <v/>
      </c>
      <c r="P32" s="6"/>
      <c r="Q32" s="11" t="str">
        <f aca="false">IF(A32="","",O32*P32)</f>
        <v/>
      </c>
      <c r="R32" s="6"/>
      <c r="S32" s="11" t="str">
        <f aca="false">IF(A32="","",L32+Q32+R32)</f>
        <v/>
      </c>
      <c r="T32" s="6"/>
      <c r="U32" s="6"/>
      <c r="V32" s="6"/>
      <c r="W32" s="11" t="str">
        <f aca="false">IF(A32="","",U32+V32)</f>
        <v/>
      </c>
      <c r="X32" s="11" t="str">
        <f aca="false">IF(A32="","",S32-W32)</f>
        <v/>
      </c>
      <c r="Y32" s="12" t="str">
        <f aca="false">IF(A32="","",IF(W32=0,0,X32/W32))</f>
        <v/>
      </c>
      <c r="Z32" s="5" t="str">
        <f aca="false">IF(A32="","",IF(X32&lt;=0,0,T32/X32))</f>
        <v/>
      </c>
      <c r="AA32" s="8"/>
      <c r="AB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7"/>
      <c r="H33" s="7"/>
      <c r="I33" s="5" t="str">
        <f aca="false">IF(A33="","",MAX(0,D33*H33-C33*G33))</f>
        <v/>
      </c>
      <c r="J33" s="6"/>
      <c r="K33" s="7"/>
      <c r="L33" s="11" t="str">
        <f aca="false">IF(A33="","",I33*J33*K33)</f>
        <v/>
      </c>
      <c r="M33" s="8"/>
      <c r="N33" s="8"/>
      <c r="O33" s="5" t="str">
        <f aca="false">IF(A33="","",MAX(0,M33-N33))</f>
        <v/>
      </c>
      <c r="P33" s="6"/>
      <c r="Q33" s="11" t="str">
        <f aca="false">IF(A33="","",O33*P33)</f>
        <v/>
      </c>
      <c r="R33" s="6"/>
      <c r="S33" s="11" t="str">
        <f aca="false">IF(A33="","",L33+Q33+R33)</f>
        <v/>
      </c>
      <c r="T33" s="6"/>
      <c r="U33" s="6"/>
      <c r="V33" s="6"/>
      <c r="W33" s="11" t="str">
        <f aca="false">IF(A33="","",U33+V33)</f>
        <v/>
      </c>
      <c r="X33" s="11" t="str">
        <f aca="false">IF(A33="","",S33-W33)</f>
        <v/>
      </c>
      <c r="Y33" s="12" t="str">
        <f aca="false">IF(A33="","",IF(W33=0,0,X33/W33))</f>
        <v/>
      </c>
      <c r="Z33" s="5" t="str">
        <f aca="false">IF(A33="","",IF(X33&lt;=0,0,T33/X33))</f>
        <v/>
      </c>
      <c r="AA33" s="8"/>
      <c r="AB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7"/>
      <c r="H34" s="7"/>
      <c r="I34" s="5" t="str">
        <f aca="false">IF(A34="","",MAX(0,D34*H34-C34*G34))</f>
        <v/>
      </c>
      <c r="J34" s="6"/>
      <c r="K34" s="7"/>
      <c r="L34" s="11" t="str">
        <f aca="false">IF(A34="","",I34*J34*K34)</f>
        <v/>
      </c>
      <c r="M34" s="8"/>
      <c r="N34" s="8"/>
      <c r="O34" s="5" t="str">
        <f aca="false">IF(A34="","",MAX(0,M34-N34))</f>
        <v/>
      </c>
      <c r="P34" s="6"/>
      <c r="Q34" s="11" t="str">
        <f aca="false">IF(A34="","",O34*P34)</f>
        <v/>
      </c>
      <c r="R34" s="6"/>
      <c r="S34" s="11" t="str">
        <f aca="false">IF(A34="","",L34+Q34+R34)</f>
        <v/>
      </c>
      <c r="T34" s="6"/>
      <c r="U34" s="6"/>
      <c r="V34" s="6"/>
      <c r="W34" s="11" t="str">
        <f aca="false">IF(A34="","",U34+V34)</f>
        <v/>
      </c>
      <c r="X34" s="11" t="str">
        <f aca="false">IF(A34="","",S34-W34)</f>
        <v/>
      </c>
      <c r="Y34" s="12" t="str">
        <f aca="false">IF(A34="","",IF(W34=0,0,X34/W34))</f>
        <v/>
      </c>
      <c r="Z34" s="5" t="str">
        <f aca="false">IF(A34="","",IF(X34&lt;=0,0,T34/X34))</f>
        <v/>
      </c>
      <c r="AA34" s="8"/>
      <c r="AB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7"/>
      <c r="H35" s="7"/>
      <c r="I35" s="5" t="str">
        <f aca="false">IF(A35="","",MAX(0,D35*H35-C35*G35))</f>
        <v/>
      </c>
      <c r="J35" s="6"/>
      <c r="K35" s="7"/>
      <c r="L35" s="11" t="str">
        <f aca="false">IF(A35="","",I35*J35*K35)</f>
        <v/>
      </c>
      <c r="M35" s="8"/>
      <c r="N35" s="8"/>
      <c r="O35" s="5" t="str">
        <f aca="false">IF(A35="","",MAX(0,M35-N35))</f>
        <v/>
      </c>
      <c r="P35" s="6"/>
      <c r="Q35" s="11" t="str">
        <f aca="false">IF(A35="","",O35*P35)</f>
        <v/>
      </c>
      <c r="R35" s="6"/>
      <c r="S35" s="11" t="str">
        <f aca="false">IF(A35="","",L35+Q35+R35)</f>
        <v/>
      </c>
      <c r="T35" s="6"/>
      <c r="U35" s="6"/>
      <c r="V35" s="6"/>
      <c r="W35" s="11" t="str">
        <f aca="false">IF(A35="","",U35+V35)</f>
        <v/>
      </c>
      <c r="X35" s="11" t="str">
        <f aca="false">IF(A35="","",S35-W35)</f>
        <v/>
      </c>
      <c r="Y35" s="12" t="str">
        <f aca="false">IF(A35="","",IF(W35=0,0,X35/W35))</f>
        <v/>
      </c>
      <c r="Z35" s="5" t="str">
        <f aca="false">IF(A35="","",IF(X35&lt;=0,0,T35/X35))</f>
        <v/>
      </c>
      <c r="AA35" s="8"/>
      <c r="AB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7"/>
      <c r="H36" s="7"/>
      <c r="I36" s="5" t="str">
        <f aca="false">IF(A36="","",MAX(0,D36*H36-C36*G36))</f>
        <v/>
      </c>
      <c r="J36" s="6"/>
      <c r="K36" s="7"/>
      <c r="L36" s="11" t="str">
        <f aca="false">IF(A36="","",I36*J36*K36)</f>
        <v/>
      </c>
      <c r="M36" s="8"/>
      <c r="N36" s="8"/>
      <c r="O36" s="5" t="str">
        <f aca="false">IF(A36="","",MAX(0,M36-N36))</f>
        <v/>
      </c>
      <c r="P36" s="6"/>
      <c r="Q36" s="11" t="str">
        <f aca="false">IF(A36="","",O36*P36)</f>
        <v/>
      </c>
      <c r="R36" s="6"/>
      <c r="S36" s="11" t="str">
        <f aca="false">IF(A36="","",L36+Q36+R36)</f>
        <v/>
      </c>
      <c r="T36" s="6"/>
      <c r="U36" s="6"/>
      <c r="V36" s="6"/>
      <c r="W36" s="11" t="str">
        <f aca="false">IF(A36="","",U36+V36)</f>
        <v/>
      </c>
      <c r="X36" s="11" t="str">
        <f aca="false">IF(A36="","",S36-W36)</f>
        <v/>
      </c>
      <c r="Y36" s="12" t="str">
        <f aca="false">IF(A36="","",IF(W36=0,0,X36/W36))</f>
        <v/>
      </c>
      <c r="Z36" s="5" t="str">
        <f aca="false">IF(A36="","",IF(X36&lt;=0,0,T36/X36))</f>
        <v/>
      </c>
      <c r="AA36" s="8"/>
      <c r="AB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7"/>
      <c r="H37" s="7"/>
      <c r="I37" s="5" t="str">
        <f aca="false">IF(A37="","",MAX(0,D37*H37-C37*G37))</f>
        <v/>
      </c>
      <c r="J37" s="6"/>
      <c r="K37" s="7"/>
      <c r="L37" s="11" t="str">
        <f aca="false">IF(A37="","",I37*J37*K37)</f>
        <v/>
      </c>
      <c r="M37" s="8"/>
      <c r="N37" s="8"/>
      <c r="O37" s="5" t="str">
        <f aca="false">IF(A37="","",MAX(0,M37-N37))</f>
        <v/>
      </c>
      <c r="P37" s="6"/>
      <c r="Q37" s="11" t="str">
        <f aca="false">IF(A37="","",O37*P37)</f>
        <v/>
      </c>
      <c r="R37" s="6"/>
      <c r="S37" s="11" t="str">
        <f aca="false">IF(A37="","",L37+Q37+R37)</f>
        <v/>
      </c>
      <c r="T37" s="6"/>
      <c r="U37" s="6"/>
      <c r="V37" s="6"/>
      <c r="W37" s="11" t="str">
        <f aca="false">IF(A37="","",U37+V37)</f>
        <v/>
      </c>
      <c r="X37" s="11" t="str">
        <f aca="false">IF(A37="","",S37-W37)</f>
        <v/>
      </c>
      <c r="Y37" s="12" t="str">
        <f aca="false">IF(A37="","",IF(W37=0,0,X37/W37))</f>
        <v/>
      </c>
      <c r="Z37" s="5" t="str">
        <f aca="false">IF(A37="","",IF(X37&lt;=0,0,T37/X37))</f>
        <v/>
      </c>
      <c r="AA37" s="8"/>
      <c r="AB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7"/>
      <c r="H38" s="7"/>
      <c r="I38" s="5" t="str">
        <f aca="false">IF(A38="","",MAX(0,D38*H38-C38*G38))</f>
        <v/>
      </c>
      <c r="J38" s="6"/>
      <c r="K38" s="7"/>
      <c r="L38" s="11" t="str">
        <f aca="false">IF(A38="","",I38*J38*K38)</f>
        <v/>
      </c>
      <c r="M38" s="8"/>
      <c r="N38" s="8"/>
      <c r="O38" s="5" t="str">
        <f aca="false">IF(A38="","",MAX(0,M38-N38))</f>
        <v/>
      </c>
      <c r="P38" s="6"/>
      <c r="Q38" s="11" t="str">
        <f aca="false">IF(A38="","",O38*P38)</f>
        <v/>
      </c>
      <c r="R38" s="6"/>
      <c r="S38" s="11" t="str">
        <f aca="false">IF(A38="","",L38+Q38+R38)</f>
        <v/>
      </c>
      <c r="T38" s="6"/>
      <c r="U38" s="6"/>
      <c r="V38" s="6"/>
      <c r="W38" s="11" t="str">
        <f aca="false">IF(A38="","",U38+V38)</f>
        <v/>
      </c>
      <c r="X38" s="11" t="str">
        <f aca="false">IF(A38="","",S38-W38)</f>
        <v/>
      </c>
      <c r="Y38" s="12" t="str">
        <f aca="false">IF(A38="","",IF(W38=0,0,X38/W38))</f>
        <v/>
      </c>
      <c r="Z38" s="5" t="str">
        <f aca="false">IF(A38="","",IF(X38&lt;=0,0,T38/X38))</f>
        <v/>
      </c>
      <c r="AA38" s="8"/>
      <c r="AB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7"/>
      <c r="H39" s="7"/>
      <c r="I39" s="5" t="str">
        <f aca="false">IF(A39="","",MAX(0,D39*H39-C39*G39))</f>
        <v/>
      </c>
      <c r="J39" s="6"/>
      <c r="K39" s="7"/>
      <c r="L39" s="11" t="str">
        <f aca="false">IF(A39="","",I39*J39*K39)</f>
        <v/>
      </c>
      <c r="M39" s="8"/>
      <c r="N39" s="8"/>
      <c r="O39" s="5" t="str">
        <f aca="false">IF(A39="","",MAX(0,M39-N39))</f>
        <v/>
      </c>
      <c r="P39" s="6"/>
      <c r="Q39" s="11" t="str">
        <f aca="false">IF(A39="","",O39*P39)</f>
        <v/>
      </c>
      <c r="R39" s="6"/>
      <c r="S39" s="11" t="str">
        <f aca="false">IF(A39="","",L39+Q39+R39)</f>
        <v/>
      </c>
      <c r="T39" s="6"/>
      <c r="U39" s="6"/>
      <c r="V39" s="6"/>
      <c r="W39" s="11" t="str">
        <f aca="false">IF(A39="","",U39+V39)</f>
        <v/>
      </c>
      <c r="X39" s="11" t="str">
        <f aca="false">IF(A39="","",S39-W39)</f>
        <v/>
      </c>
      <c r="Y39" s="12" t="str">
        <f aca="false">IF(A39="","",IF(W39=0,0,X39/W39))</f>
        <v/>
      </c>
      <c r="Z39" s="5" t="str">
        <f aca="false">IF(A39="","",IF(X39&lt;=0,0,T39/X39))</f>
        <v/>
      </c>
      <c r="AA39" s="8"/>
      <c r="AB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7"/>
      <c r="H40" s="7"/>
      <c r="I40" s="5" t="str">
        <f aca="false">IF(A40="","",MAX(0,D40*H40-C40*G40))</f>
        <v/>
      </c>
      <c r="J40" s="6"/>
      <c r="K40" s="7"/>
      <c r="L40" s="11" t="str">
        <f aca="false">IF(A40="","",I40*J40*K40)</f>
        <v/>
      </c>
      <c r="M40" s="8"/>
      <c r="N40" s="8"/>
      <c r="O40" s="5" t="str">
        <f aca="false">IF(A40="","",MAX(0,M40-N40))</f>
        <v/>
      </c>
      <c r="P40" s="6"/>
      <c r="Q40" s="11" t="str">
        <f aca="false">IF(A40="","",O40*P40)</f>
        <v/>
      </c>
      <c r="R40" s="6"/>
      <c r="S40" s="11" t="str">
        <f aca="false">IF(A40="","",L40+Q40+R40)</f>
        <v/>
      </c>
      <c r="T40" s="6"/>
      <c r="U40" s="6"/>
      <c r="V40" s="6"/>
      <c r="W40" s="11" t="str">
        <f aca="false">IF(A40="","",U40+V40)</f>
        <v/>
      </c>
      <c r="X40" s="11" t="str">
        <f aca="false">IF(A40="","",S40-W40)</f>
        <v/>
      </c>
      <c r="Y40" s="12" t="str">
        <f aca="false">IF(A40="","",IF(W40=0,0,X40/W40))</f>
        <v/>
      </c>
      <c r="Z40" s="5" t="str">
        <f aca="false">IF(A40="","",IF(X40&lt;=0,0,T40/X40))</f>
        <v/>
      </c>
      <c r="AA40" s="8"/>
      <c r="AB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7"/>
      <c r="H41" s="7"/>
      <c r="I41" s="5" t="str">
        <f aca="false">IF(A41="","",MAX(0,D41*H41-C41*G41))</f>
        <v/>
      </c>
      <c r="J41" s="6"/>
      <c r="K41" s="7"/>
      <c r="L41" s="11" t="str">
        <f aca="false">IF(A41="","",I41*J41*K41)</f>
        <v/>
      </c>
      <c r="M41" s="8"/>
      <c r="N41" s="8"/>
      <c r="O41" s="5" t="str">
        <f aca="false">IF(A41="","",MAX(0,M41-N41))</f>
        <v/>
      </c>
      <c r="P41" s="6"/>
      <c r="Q41" s="11" t="str">
        <f aca="false">IF(A41="","",O41*P41)</f>
        <v/>
      </c>
      <c r="R41" s="6"/>
      <c r="S41" s="11" t="str">
        <f aca="false">IF(A41="","",L41+Q41+R41)</f>
        <v/>
      </c>
      <c r="T41" s="6"/>
      <c r="U41" s="6"/>
      <c r="V41" s="6"/>
      <c r="W41" s="11" t="str">
        <f aca="false">IF(A41="","",U41+V41)</f>
        <v/>
      </c>
      <c r="X41" s="11" t="str">
        <f aca="false">IF(A41="","",S41-W41)</f>
        <v/>
      </c>
      <c r="Y41" s="12" t="str">
        <f aca="false">IF(A41="","",IF(W41=0,0,X41/W41))</f>
        <v/>
      </c>
      <c r="Z41" s="5" t="str">
        <f aca="false">IF(A41="","",IF(X41&lt;=0,0,T41/X41))</f>
        <v/>
      </c>
      <c r="AA41" s="8"/>
      <c r="AB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7"/>
      <c r="H42" s="7"/>
      <c r="I42" s="5" t="str">
        <f aca="false">IF(A42="","",MAX(0,D42*H42-C42*G42))</f>
        <v/>
      </c>
      <c r="J42" s="6"/>
      <c r="K42" s="7"/>
      <c r="L42" s="11" t="str">
        <f aca="false">IF(A42="","",I42*J42*K42)</f>
        <v/>
      </c>
      <c r="M42" s="8"/>
      <c r="N42" s="8"/>
      <c r="O42" s="5" t="str">
        <f aca="false">IF(A42="","",MAX(0,M42-N42))</f>
        <v/>
      </c>
      <c r="P42" s="6"/>
      <c r="Q42" s="11" t="str">
        <f aca="false">IF(A42="","",O42*P42)</f>
        <v/>
      </c>
      <c r="R42" s="6"/>
      <c r="S42" s="11" t="str">
        <f aca="false">IF(A42="","",L42+Q42+R42)</f>
        <v/>
      </c>
      <c r="T42" s="6"/>
      <c r="U42" s="6"/>
      <c r="V42" s="6"/>
      <c r="W42" s="11" t="str">
        <f aca="false">IF(A42="","",U42+V42)</f>
        <v/>
      </c>
      <c r="X42" s="11" t="str">
        <f aca="false">IF(A42="","",S42-W42)</f>
        <v/>
      </c>
      <c r="Y42" s="12" t="str">
        <f aca="false">IF(A42="","",IF(W42=0,0,X42/W42))</f>
        <v/>
      </c>
      <c r="Z42" s="5" t="str">
        <f aca="false">IF(A42="","",IF(X42&lt;=0,0,T42/X42))</f>
        <v/>
      </c>
      <c r="AA42" s="8"/>
      <c r="AB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7"/>
      <c r="H43" s="7"/>
      <c r="I43" s="5" t="str">
        <f aca="false">IF(A43="","",MAX(0,D43*H43-C43*G43))</f>
        <v/>
      </c>
      <c r="J43" s="6"/>
      <c r="K43" s="7"/>
      <c r="L43" s="11" t="str">
        <f aca="false">IF(A43="","",I43*J43*K43)</f>
        <v/>
      </c>
      <c r="M43" s="8"/>
      <c r="N43" s="8"/>
      <c r="O43" s="5" t="str">
        <f aca="false">IF(A43="","",MAX(0,M43-N43))</f>
        <v/>
      </c>
      <c r="P43" s="6"/>
      <c r="Q43" s="11" t="str">
        <f aca="false">IF(A43="","",O43*P43)</f>
        <v/>
      </c>
      <c r="R43" s="6"/>
      <c r="S43" s="11" t="str">
        <f aca="false">IF(A43="","",L43+Q43+R43)</f>
        <v/>
      </c>
      <c r="T43" s="6"/>
      <c r="U43" s="6"/>
      <c r="V43" s="6"/>
      <c r="W43" s="11" t="str">
        <f aca="false">IF(A43="","",U43+V43)</f>
        <v/>
      </c>
      <c r="X43" s="11" t="str">
        <f aca="false">IF(A43="","",S43-W43)</f>
        <v/>
      </c>
      <c r="Y43" s="12" t="str">
        <f aca="false">IF(A43="","",IF(W43=0,0,X43/W43))</f>
        <v/>
      </c>
      <c r="Z43" s="5" t="str">
        <f aca="false">IF(A43="","",IF(X43&lt;=0,0,T43/X43))</f>
        <v/>
      </c>
      <c r="AA43" s="8"/>
      <c r="AB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7"/>
      <c r="H44" s="7"/>
      <c r="I44" s="5" t="str">
        <f aca="false">IF(A44="","",MAX(0,D44*H44-C44*G44))</f>
        <v/>
      </c>
      <c r="J44" s="6"/>
      <c r="K44" s="7"/>
      <c r="L44" s="11" t="str">
        <f aca="false">IF(A44="","",I44*J44*K44)</f>
        <v/>
      </c>
      <c r="M44" s="8"/>
      <c r="N44" s="8"/>
      <c r="O44" s="5" t="str">
        <f aca="false">IF(A44="","",MAX(0,M44-N44))</f>
        <v/>
      </c>
      <c r="P44" s="6"/>
      <c r="Q44" s="11" t="str">
        <f aca="false">IF(A44="","",O44*P44)</f>
        <v/>
      </c>
      <c r="R44" s="6"/>
      <c r="S44" s="11" t="str">
        <f aca="false">IF(A44="","",L44+Q44+R44)</f>
        <v/>
      </c>
      <c r="T44" s="6"/>
      <c r="U44" s="6"/>
      <c r="V44" s="6"/>
      <c r="W44" s="11" t="str">
        <f aca="false">IF(A44="","",U44+V44)</f>
        <v/>
      </c>
      <c r="X44" s="11" t="str">
        <f aca="false">IF(A44="","",S44-W44)</f>
        <v/>
      </c>
      <c r="Y44" s="12" t="str">
        <f aca="false">IF(A44="","",IF(W44=0,0,X44/W44))</f>
        <v/>
      </c>
      <c r="Z44" s="5" t="str">
        <f aca="false">IF(A44="","",IF(X44&lt;=0,0,T44/X44))</f>
        <v/>
      </c>
      <c r="AA44" s="8"/>
      <c r="AB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7"/>
      <c r="H45" s="7"/>
      <c r="I45" s="5" t="str">
        <f aca="false">IF(A45="","",MAX(0,D45*H45-C45*G45))</f>
        <v/>
      </c>
      <c r="J45" s="6"/>
      <c r="K45" s="7"/>
      <c r="L45" s="11" t="str">
        <f aca="false">IF(A45="","",I45*J45*K45)</f>
        <v/>
      </c>
      <c r="M45" s="8"/>
      <c r="N45" s="8"/>
      <c r="O45" s="5" t="str">
        <f aca="false">IF(A45="","",MAX(0,M45-N45))</f>
        <v/>
      </c>
      <c r="P45" s="6"/>
      <c r="Q45" s="11" t="str">
        <f aca="false">IF(A45="","",O45*P45)</f>
        <v/>
      </c>
      <c r="R45" s="6"/>
      <c r="S45" s="11" t="str">
        <f aca="false">IF(A45="","",L45+Q45+R45)</f>
        <v/>
      </c>
      <c r="T45" s="6"/>
      <c r="U45" s="6"/>
      <c r="V45" s="6"/>
      <c r="W45" s="11" t="str">
        <f aca="false">IF(A45="","",U45+V45)</f>
        <v/>
      </c>
      <c r="X45" s="11" t="str">
        <f aca="false">IF(A45="","",S45-W45)</f>
        <v/>
      </c>
      <c r="Y45" s="12" t="str">
        <f aca="false">IF(A45="","",IF(W45=0,0,X45/W45))</f>
        <v/>
      </c>
      <c r="Z45" s="5" t="str">
        <f aca="false">IF(A45="","",IF(X45&lt;=0,0,T45/X45))</f>
        <v/>
      </c>
      <c r="AA45" s="8"/>
      <c r="AB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7"/>
      <c r="H46" s="7"/>
      <c r="I46" s="5" t="str">
        <f aca="false">IF(A46="","",MAX(0,D46*H46-C46*G46))</f>
        <v/>
      </c>
      <c r="J46" s="6"/>
      <c r="K46" s="7"/>
      <c r="L46" s="11" t="str">
        <f aca="false">IF(A46="","",I46*J46*K46)</f>
        <v/>
      </c>
      <c r="M46" s="8"/>
      <c r="N46" s="8"/>
      <c r="O46" s="5" t="str">
        <f aca="false">IF(A46="","",MAX(0,M46-N46))</f>
        <v/>
      </c>
      <c r="P46" s="6"/>
      <c r="Q46" s="11" t="str">
        <f aca="false">IF(A46="","",O46*P46)</f>
        <v/>
      </c>
      <c r="R46" s="6"/>
      <c r="S46" s="11" t="str">
        <f aca="false">IF(A46="","",L46+Q46+R46)</f>
        <v/>
      </c>
      <c r="T46" s="6"/>
      <c r="U46" s="6"/>
      <c r="V46" s="6"/>
      <c r="W46" s="11" t="str">
        <f aca="false">IF(A46="","",U46+V46)</f>
        <v/>
      </c>
      <c r="X46" s="11" t="str">
        <f aca="false">IF(A46="","",S46-W46)</f>
        <v/>
      </c>
      <c r="Y46" s="12" t="str">
        <f aca="false">IF(A46="","",IF(W46=0,0,X46/W46))</f>
        <v/>
      </c>
      <c r="Z46" s="5" t="str">
        <f aca="false">IF(A46="","",IF(X46&lt;=0,0,T46/X46))</f>
        <v/>
      </c>
      <c r="AA46" s="8"/>
      <c r="AB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7"/>
      <c r="H47" s="7"/>
      <c r="I47" s="5" t="str">
        <f aca="false">IF(A47="","",MAX(0,D47*H47-C47*G47))</f>
        <v/>
      </c>
      <c r="J47" s="6"/>
      <c r="K47" s="7"/>
      <c r="L47" s="11" t="str">
        <f aca="false">IF(A47="","",I47*J47*K47)</f>
        <v/>
      </c>
      <c r="M47" s="8"/>
      <c r="N47" s="8"/>
      <c r="O47" s="5" t="str">
        <f aca="false">IF(A47="","",MAX(0,M47-N47))</f>
        <v/>
      </c>
      <c r="P47" s="6"/>
      <c r="Q47" s="11" t="str">
        <f aca="false">IF(A47="","",O47*P47)</f>
        <v/>
      </c>
      <c r="R47" s="6"/>
      <c r="S47" s="11" t="str">
        <f aca="false">IF(A47="","",L47+Q47+R47)</f>
        <v/>
      </c>
      <c r="T47" s="6"/>
      <c r="U47" s="6"/>
      <c r="V47" s="6"/>
      <c r="W47" s="11" t="str">
        <f aca="false">IF(A47="","",U47+V47)</f>
        <v/>
      </c>
      <c r="X47" s="11" t="str">
        <f aca="false">IF(A47="","",S47-W47)</f>
        <v/>
      </c>
      <c r="Y47" s="12" t="str">
        <f aca="false">IF(A47="","",IF(W47=0,0,X47/W47))</f>
        <v/>
      </c>
      <c r="Z47" s="5" t="str">
        <f aca="false">IF(A47="","",IF(X47&lt;=0,0,T47/X47))</f>
        <v/>
      </c>
      <c r="AA47" s="8"/>
      <c r="AB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7"/>
      <c r="H48" s="7"/>
      <c r="I48" s="5" t="str">
        <f aca="false">IF(A48="","",MAX(0,D48*H48-C48*G48))</f>
        <v/>
      </c>
      <c r="J48" s="6"/>
      <c r="K48" s="7"/>
      <c r="L48" s="11" t="str">
        <f aca="false">IF(A48="","",I48*J48*K48)</f>
        <v/>
      </c>
      <c r="M48" s="8"/>
      <c r="N48" s="8"/>
      <c r="O48" s="5" t="str">
        <f aca="false">IF(A48="","",MAX(0,M48-N48))</f>
        <v/>
      </c>
      <c r="P48" s="6"/>
      <c r="Q48" s="11" t="str">
        <f aca="false">IF(A48="","",O48*P48)</f>
        <v/>
      </c>
      <c r="R48" s="6"/>
      <c r="S48" s="11" t="str">
        <f aca="false">IF(A48="","",L48+Q48+R48)</f>
        <v/>
      </c>
      <c r="T48" s="6"/>
      <c r="U48" s="6"/>
      <c r="V48" s="6"/>
      <c r="W48" s="11" t="str">
        <f aca="false">IF(A48="","",U48+V48)</f>
        <v/>
      </c>
      <c r="X48" s="11" t="str">
        <f aca="false">IF(A48="","",S48-W48)</f>
        <v/>
      </c>
      <c r="Y48" s="12" t="str">
        <f aca="false">IF(A48="","",IF(W48=0,0,X48/W48))</f>
        <v/>
      </c>
      <c r="Z48" s="5" t="str">
        <f aca="false">IF(A48="","",IF(X48&lt;=0,0,T48/X48))</f>
        <v/>
      </c>
      <c r="AA48" s="8"/>
      <c r="AB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7"/>
      <c r="H49" s="7"/>
      <c r="I49" s="5" t="str">
        <f aca="false">IF(A49="","",MAX(0,D49*H49-C49*G49))</f>
        <v/>
      </c>
      <c r="J49" s="6"/>
      <c r="K49" s="7"/>
      <c r="L49" s="11" t="str">
        <f aca="false">IF(A49="","",I49*J49*K49)</f>
        <v/>
      </c>
      <c r="M49" s="8"/>
      <c r="N49" s="8"/>
      <c r="O49" s="5" t="str">
        <f aca="false">IF(A49="","",MAX(0,M49-N49))</f>
        <v/>
      </c>
      <c r="P49" s="6"/>
      <c r="Q49" s="11" t="str">
        <f aca="false">IF(A49="","",O49*P49)</f>
        <v/>
      </c>
      <c r="R49" s="6"/>
      <c r="S49" s="11" t="str">
        <f aca="false">IF(A49="","",L49+Q49+R49)</f>
        <v/>
      </c>
      <c r="T49" s="6"/>
      <c r="U49" s="6"/>
      <c r="V49" s="6"/>
      <c r="W49" s="11" t="str">
        <f aca="false">IF(A49="","",U49+V49)</f>
        <v/>
      </c>
      <c r="X49" s="11" t="str">
        <f aca="false">IF(A49="","",S49-W49)</f>
        <v/>
      </c>
      <c r="Y49" s="12" t="str">
        <f aca="false">IF(A49="","",IF(W49=0,0,X49/W49))</f>
        <v/>
      </c>
      <c r="Z49" s="5" t="str">
        <f aca="false">IF(A49="","",IF(X49&lt;=0,0,T49/X49))</f>
        <v/>
      </c>
      <c r="AA49" s="8"/>
      <c r="AB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7"/>
      <c r="H50" s="7"/>
      <c r="I50" s="5" t="str">
        <f aca="false">IF(A50="","",MAX(0,D50*H50-C50*G50))</f>
        <v/>
      </c>
      <c r="J50" s="6"/>
      <c r="K50" s="7"/>
      <c r="L50" s="11" t="str">
        <f aca="false">IF(A50="","",I50*J50*K50)</f>
        <v/>
      </c>
      <c r="M50" s="8"/>
      <c r="N50" s="8"/>
      <c r="O50" s="5" t="str">
        <f aca="false">IF(A50="","",MAX(0,M50-N50))</f>
        <v/>
      </c>
      <c r="P50" s="6"/>
      <c r="Q50" s="11" t="str">
        <f aca="false">IF(A50="","",O50*P50)</f>
        <v/>
      </c>
      <c r="R50" s="6"/>
      <c r="S50" s="11" t="str">
        <f aca="false">IF(A50="","",L50+Q50+R50)</f>
        <v/>
      </c>
      <c r="T50" s="6"/>
      <c r="U50" s="6"/>
      <c r="V50" s="6"/>
      <c r="W50" s="11" t="str">
        <f aca="false">IF(A50="","",U50+V50)</f>
        <v/>
      </c>
      <c r="X50" s="11" t="str">
        <f aca="false">IF(A50="","",S50-W50)</f>
        <v/>
      </c>
      <c r="Y50" s="12" t="str">
        <f aca="false">IF(A50="","",IF(W50=0,0,X50/W50))</f>
        <v/>
      </c>
      <c r="Z50" s="5" t="str">
        <f aca="false">IF(A50="","",IF(X50&lt;=0,0,T50/X50))</f>
        <v/>
      </c>
      <c r="AA50" s="8"/>
      <c r="AB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7"/>
      <c r="H51" s="7"/>
      <c r="I51" s="5" t="str">
        <f aca="false">IF(A51="","",MAX(0,D51*H51-C51*G51))</f>
        <v/>
      </c>
      <c r="J51" s="6"/>
      <c r="K51" s="7"/>
      <c r="L51" s="11" t="str">
        <f aca="false">IF(A51="","",I51*J51*K51)</f>
        <v/>
      </c>
      <c r="M51" s="8"/>
      <c r="N51" s="8"/>
      <c r="O51" s="5" t="str">
        <f aca="false">IF(A51="","",MAX(0,M51-N51))</f>
        <v/>
      </c>
      <c r="P51" s="6"/>
      <c r="Q51" s="11" t="str">
        <f aca="false">IF(A51="","",O51*P51)</f>
        <v/>
      </c>
      <c r="R51" s="6"/>
      <c r="S51" s="11" t="str">
        <f aca="false">IF(A51="","",L51+Q51+R51)</f>
        <v/>
      </c>
      <c r="T51" s="6"/>
      <c r="U51" s="6"/>
      <c r="V51" s="6"/>
      <c r="W51" s="11" t="str">
        <f aca="false">IF(A51="","",U51+V51)</f>
        <v/>
      </c>
      <c r="X51" s="11" t="str">
        <f aca="false">IF(A51="","",S51-W51)</f>
        <v/>
      </c>
      <c r="Y51" s="12" t="str">
        <f aca="false">IF(A51="","",IF(W51=0,0,X51/W51))</f>
        <v/>
      </c>
      <c r="Z51" s="5" t="str">
        <f aca="false">IF(A51="","",IF(X51&lt;=0,0,T51/X51))</f>
        <v/>
      </c>
      <c r="AA51" s="8"/>
      <c r="AB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7"/>
      <c r="H52" s="7"/>
      <c r="I52" s="5" t="str">
        <f aca="false">IF(A52="","",MAX(0,D52*H52-C52*G52))</f>
        <v/>
      </c>
      <c r="J52" s="6"/>
      <c r="K52" s="7"/>
      <c r="L52" s="11" t="str">
        <f aca="false">IF(A52="","",I52*J52*K52)</f>
        <v/>
      </c>
      <c r="M52" s="8"/>
      <c r="N52" s="8"/>
      <c r="O52" s="5" t="str">
        <f aca="false">IF(A52="","",MAX(0,M52-N52))</f>
        <v/>
      </c>
      <c r="P52" s="6"/>
      <c r="Q52" s="11" t="str">
        <f aca="false">IF(A52="","",O52*P52)</f>
        <v/>
      </c>
      <c r="R52" s="6"/>
      <c r="S52" s="11" t="str">
        <f aca="false">IF(A52="","",L52+Q52+R52)</f>
        <v/>
      </c>
      <c r="T52" s="6"/>
      <c r="U52" s="6"/>
      <c r="V52" s="6"/>
      <c r="W52" s="11" t="str">
        <f aca="false">IF(A52="","",U52+V52)</f>
        <v/>
      </c>
      <c r="X52" s="11" t="str">
        <f aca="false">IF(A52="","",S52-W52)</f>
        <v/>
      </c>
      <c r="Y52" s="12" t="str">
        <f aca="false">IF(A52="","",IF(W52=0,0,X52/W52))</f>
        <v/>
      </c>
      <c r="Z52" s="5" t="str">
        <f aca="false">IF(A52="","",IF(X52&lt;=0,0,T52/X52))</f>
        <v/>
      </c>
      <c r="AA52" s="8"/>
      <c r="AB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7"/>
      <c r="H53" s="7"/>
      <c r="I53" s="5" t="str">
        <f aca="false">IF(A53="","",MAX(0,D53*H53-C53*G53))</f>
        <v/>
      </c>
      <c r="J53" s="6"/>
      <c r="K53" s="7"/>
      <c r="L53" s="11" t="str">
        <f aca="false">IF(A53="","",I53*J53*K53)</f>
        <v/>
      </c>
      <c r="M53" s="8"/>
      <c r="N53" s="8"/>
      <c r="O53" s="5" t="str">
        <f aca="false">IF(A53="","",MAX(0,M53-N53))</f>
        <v/>
      </c>
      <c r="P53" s="6"/>
      <c r="Q53" s="11" t="str">
        <f aca="false">IF(A53="","",O53*P53)</f>
        <v/>
      </c>
      <c r="R53" s="6"/>
      <c r="S53" s="11" t="str">
        <f aca="false">IF(A53="","",L53+Q53+R53)</f>
        <v/>
      </c>
      <c r="T53" s="6"/>
      <c r="U53" s="6"/>
      <c r="V53" s="6"/>
      <c r="W53" s="11" t="str">
        <f aca="false">IF(A53="","",U53+V53)</f>
        <v/>
      </c>
      <c r="X53" s="11" t="str">
        <f aca="false">IF(A53="","",S53-W53)</f>
        <v/>
      </c>
      <c r="Y53" s="12" t="str">
        <f aca="false">IF(A53="","",IF(W53=0,0,X53/W53))</f>
        <v/>
      </c>
      <c r="Z53" s="5" t="str">
        <f aca="false">IF(A53="","",IF(X53&lt;=0,0,T53/X53))</f>
        <v/>
      </c>
      <c r="AA53" s="8"/>
      <c r="AB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7"/>
      <c r="H54" s="7"/>
      <c r="I54" s="5" t="str">
        <f aca="false">IF(A54="","",MAX(0,D54*H54-C54*G54))</f>
        <v/>
      </c>
      <c r="J54" s="6"/>
      <c r="K54" s="7"/>
      <c r="L54" s="11" t="str">
        <f aca="false">IF(A54="","",I54*J54*K54)</f>
        <v/>
      </c>
      <c r="M54" s="8"/>
      <c r="N54" s="8"/>
      <c r="O54" s="5" t="str">
        <f aca="false">IF(A54="","",MAX(0,M54-N54))</f>
        <v/>
      </c>
      <c r="P54" s="6"/>
      <c r="Q54" s="11" t="str">
        <f aca="false">IF(A54="","",O54*P54)</f>
        <v/>
      </c>
      <c r="R54" s="6"/>
      <c r="S54" s="11" t="str">
        <f aca="false">IF(A54="","",L54+Q54+R54)</f>
        <v/>
      </c>
      <c r="T54" s="6"/>
      <c r="U54" s="6"/>
      <c r="V54" s="6"/>
      <c r="W54" s="11" t="str">
        <f aca="false">IF(A54="","",U54+V54)</f>
        <v/>
      </c>
      <c r="X54" s="11" t="str">
        <f aca="false">IF(A54="","",S54-W54)</f>
        <v/>
      </c>
      <c r="Y54" s="12" t="str">
        <f aca="false">IF(A54="","",IF(W54=0,0,X54/W54))</f>
        <v/>
      </c>
      <c r="Z54" s="5" t="str">
        <f aca="false">IF(A54="","",IF(X54&lt;=0,0,T54/X54))</f>
        <v/>
      </c>
      <c r="AA54" s="8"/>
      <c r="AB54" s="8"/>
    </row>
  </sheetData>
  <mergeCells count="2">
    <mergeCell ref="A1:H1"/>
    <mergeCell ref="A2:H2"/>
  </mergeCells>
  <conditionalFormatting sqref="Y5:Y54">
    <cfRule type="cellIs" priority="2" operator="lessThan" aboveAverage="0" equalAverage="0" bottom="0" percent="0" rank="0" text="" dxfId="8">
      <formula>0</formula>
    </cfRule>
    <cfRule type="cellIs" priority="3" operator="greaterThanOrEqual" aboveAverage="0" equalAverage="0" bottom="0" percent="0" rank="0" text="" dxfId="9">
      <formula>0</formula>
    </cfRule>
  </conditionalFormatting>
  <dataValidations count="1">
    <dataValidation allowBlank="true" errorStyle="stop" operator="between" showDropDown="false" showErrorMessage="false" showInputMessage="false" sqref="AA5:AA54" type="list">
      <formula1>"Observado,Estimado,Contribuição provável,Não mensurável"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2026-10-05T18:28:59Z</dcterms:created>
  <dc:creator>openpyxl</dc:creator>
  <dc:description/>
  <dc:language>pt-BR</dc:language>
  <cp:lastModifiedBy/>
  <dcterms:modified xsi:type="dcterms:W3CDTF">2026-10-05T18:28:59Z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